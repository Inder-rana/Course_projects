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der\Downloads\"/>
    </mc:Choice>
  </mc:AlternateContent>
  <bookViews>
    <workbookView xWindow="-120" yWindow="-120" windowWidth="20730" windowHeight="11160" activeTab="1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Bridge Chart" sheetId="27" r:id="rId12"/>
    <sheet name="Sheet1" sheetId="30" r:id="rId13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Database'!$L$1:$L$216</definedName>
    <definedName name="_xlchart.v1.0" hidden="1">'Bridge Chart'!$B$4:$B$8</definedName>
    <definedName name="_xlchart.v1.1" hidden="1">'Bridge Chart'!$C$4:$C$8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7" l="1"/>
  <c r="C8" i="27"/>
  <c r="C7" i="27"/>
  <c r="C6" i="27"/>
  <c r="C5" i="27"/>
  <c r="C4" i="27"/>
  <c r="E8" i="29" l="1"/>
  <c r="D8" i="29"/>
  <c r="C8" i="29"/>
  <c r="E7" i="29"/>
  <c r="D7" i="29"/>
  <c r="C7" i="29"/>
  <c r="E6" i="29"/>
  <c r="D6" i="29"/>
  <c r="C6" i="29"/>
  <c r="E5" i="29"/>
  <c r="D5" i="29"/>
  <c r="C5" i="29"/>
  <c r="D30" i="21" l="1"/>
  <c r="E30" i="21"/>
  <c r="C30" i="21"/>
  <c r="D29" i="21"/>
  <c r="E29" i="21"/>
  <c r="C29" i="21"/>
  <c r="D28" i="21"/>
  <c r="E28" i="21"/>
  <c r="C28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C60" i="10" l="1"/>
  <c r="D60" i="10"/>
  <c r="E60" i="10"/>
  <c r="F60" i="10"/>
  <c r="G60" i="10"/>
  <c r="H60" i="10"/>
  <c r="H94" i="10"/>
  <c r="G94" i="10"/>
  <c r="F94" i="10"/>
  <c r="C33" i="21" l="1"/>
  <c r="D33" i="21"/>
  <c r="E33" i="21"/>
  <c r="H5" i="10"/>
  <c r="E5" i="21" s="1"/>
  <c r="H6" i="10"/>
  <c r="H7" i="10"/>
  <c r="H8" i="10"/>
  <c r="H9" i="10"/>
  <c r="H10" i="10"/>
  <c r="E8" i="21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E14" i="21" s="1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5" i="10"/>
  <c r="C5" i="21" s="1"/>
  <c r="F6" i="10"/>
  <c r="F7" i="10"/>
  <c r="F8" i="10"/>
  <c r="F9" i="10"/>
  <c r="F10" i="10"/>
  <c r="C8" i="21" s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C14" i="21" s="1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7" i="10"/>
  <c r="F108" i="10"/>
  <c r="F4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E70" i="10"/>
  <c r="D70" i="10"/>
  <c r="E69" i="10"/>
  <c r="D69" i="10"/>
  <c r="E68" i="10"/>
  <c r="D68" i="10"/>
  <c r="E67" i="10"/>
  <c r="D67" i="10"/>
  <c r="E66" i="10"/>
  <c r="D66" i="10"/>
  <c r="E65" i="10"/>
  <c r="D65" i="10"/>
  <c r="E64" i="10"/>
  <c r="D64" i="10"/>
  <c r="E63" i="10"/>
  <c r="D63" i="10"/>
  <c r="E62" i="10"/>
  <c r="D62" i="10"/>
  <c r="E61" i="10"/>
  <c r="D61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E4" i="10"/>
  <c r="D4" i="10"/>
  <c r="C4" i="10"/>
  <c r="C3" i="10"/>
  <c r="D15" i="21" l="1"/>
  <c r="D12" i="21"/>
  <c r="D20" i="21"/>
  <c r="D23" i="21"/>
  <c r="D16" i="21"/>
  <c r="D11" i="21"/>
  <c r="D18" i="21"/>
  <c r="D13" i="21"/>
  <c r="D10" i="21"/>
  <c r="D21" i="21"/>
  <c r="D6" i="21"/>
  <c r="D7" i="21" s="1"/>
  <c r="D9" i="21" s="1"/>
  <c r="C23" i="21"/>
  <c r="C12" i="21"/>
  <c r="C15" i="21"/>
  <c r="C21" i="21"/>
  <c r="C10" i="21"/>
  <c r="C20" i="21"/>
  <c r="C6" i="21"/>
  <c r="C4" i="21"/>
  <c r="C7" i="21" s="1"/>
  <c r="C9" i="21" s="1"/>
  <c r="C13" i="21"/>
  <c r="C18" i="21"/>
  <c r="C11" i="21"/>
  <c r="C16" i="21"/>
  <c r="E6" i="21"/>
  <c r="E21" i="21"/>
  <c r="E10" i="21"/>
  <c r="E4" i="21"/>
  <c r="E13" i="21"/>
  <c r="E18" i="21"/>
  <c r="E11" i="21"/>
  <c r="E16" i="21"/>
  <c r="E23" i="21"/>
  <c r="E20" i="21"/>
  <c r="E12" i="21"/>
  <c r="E15" i="21"/>
  <c r="E7" i="21" l="1"/>
  <c r="E9" i="21" s="1"/>
  <c r="D17" i="21"/>
  <c r="D19" i="21" s="1"/>
  <c r="D22" i="21" s="1"/>
  <c r="D24" i="21" s="1"/>
  <c r="D34" i="21" s="1"/>
  <c r="C17" i="21"/>
  <c r="C19" i="21" s="1"/>
  <c r="C22" i="21" s="1"/>
  <c r="C24" i="21" s="1"/>
  <c r="C34" i="21" s="1"/>
  <c r="E17" i="21"/>
  <c r="E19" i="21" s="1"/>
  <c r="E22" i="21" s="1"/>
  <c r="E24" i="21" s="1"/>
  <c r="E34" i="21" s="1"/>
</calcChain>
</file>

<file path=xl/sharedStrings.xml><?xml version="1.0" encoding="utf-8"?>
<sst xmlns="http://schemas.openxmlformats.org/spreadsheetml/2006/main" count="975" uniqueCount="261">
  <si>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</si>
  <si>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</si>
  <si>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</si>
  <si>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</si>
  <si>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</si>
  <si>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</si>
  <si>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</si>
  <si>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</si>
  <si>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</si>
  <si>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</si>
  <si>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</si>
  <si>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</si>
  <si>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</si>
  <si>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</si>
  <si>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</si>
  <si>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</si>
  <si>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</si>
  <si>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</si>
  <si>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</si>
  <si>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</si>
  <si>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</si>
  <si>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</si>
  <si>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</si>
  <si>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</si>
  <si>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</si>
  <si>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</si>
  <si>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</si>
  <si>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</si>
  <si>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</si>
  <si>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</si>
  <si>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</si>
  <si>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</si>
  <si>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</si>
  <si>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</si>
  <si>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</si>
  <si>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</si>
  <si>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</si>
  <si>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</si>
  <si>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</si>
  <si>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</si>
  <si>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</si>
  <si>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</si>
  <si>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</si>
  <si>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</si>
  <si>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</si>
  <si>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</si>
  <si>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</si>
  <si>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</si>
  <si>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</si>
  <si>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</si>
  <si>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</si>
  <si>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</si>
  <si>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</si>
  <si>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</si>
  <si>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</si>
  <si>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</si>
  <si>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</si>
  <si>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</si>
  <si>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</si>
  <si>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</si>
  <si>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</si>
  <si>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</si>
  <si>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</si>
  <si>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</si>
  <si>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</si>
  <si>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</si>
  <si>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</si>
  <si>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</si>
  <si>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</si>
  <si>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</si>
  <si>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</si>
  <si>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</si>
  <si>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</si>
  <si>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</si>
  <si>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</si>
  <si>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</si>
  <si>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</si>
  <si>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</si>
  <si>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</si>
  <si>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</si>
  <si>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</si>
  <si>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</si>
  <si>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</si>
  <si>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</si>
  <si>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</si>
  <si>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</si>
  <si>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</si>
  <si>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</si>
  <si>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</si>
  <si>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</si>
  <si>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</si>
  <si>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</si>
  <si>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</si>
  <si>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</si>
  <si>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</si>
  <si>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</si>
  <si>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</si>
  <si>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</si>
  <si>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</si>
  <si>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</si>
  <si>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</si>
  <si>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</si>
  <si>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</si>
  <si>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</si>
  <si>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</si>
  <si>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</si>
  <si>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</si>
  <si>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</si>
  <si>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</si>
  <si>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</si>
  <si>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Name of partner company</t>
  </si>
  <si>
    <t>Amounts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</si>
  <si>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</si>
  <si>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</si>
  <si>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</si>
  <si>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</si>
  <si>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</si>
  <si>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</si>
  <si>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</si>
  <si>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</si>
  <si>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</si>
  <si>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</si>
  <si>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</si>
  <si>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</si>
  <si>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</si>
  <si>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</si>
  <si>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</si>
  <si>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</si>
  <si>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</si>
  <si>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</si>
  <si>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</si>
  <si>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</si>
  <si>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</si>
  <si>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</si>
  <si>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</si>
  <si>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</si>
  <si>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</si>
  <si>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</si>
  <si>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</si>
  <si>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</si>
  <si>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</si>
  <si>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</si>
  <si>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</si>
  <si>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</si>
  <si>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</si>
  <si>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</si>
  <si>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</si>
  <si>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</si>
  <si>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</si>
  <si>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</si>
  <si>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</si>
  <si>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</si>
  <si>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</si>
  <si>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</si>
  <si>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</si>
  <si>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</si>
  <si>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</si>
  <si>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</si>
  <si>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</si>
  <si>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</si>
  <si>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</si>
  <si>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</si>
  <si>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</si>
  <si>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</si>
  <si>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</si>
  <si>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</si>
  <si>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</si>
  <si>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</si>
  <si>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</si>
  <si>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</si>
  <si>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</si>
  <si>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</si>
  <si>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2021210000111111</t>
  </si>
  <si>
    <t>2024020000111111</t>
  </si>
  <si>
    <t>20240900001283</t>
  </si>
  <si>
    <t>20240900001924</t>
  </si>
  <si>
    <t>20240900002185</t>
  </si>
  <si>
    <t>20240900002240</t>
  </si>
  <si>
    <t>202409000017000</t>
  </si>
  <si>
    <t>2051260000111101</t>
  </si>
  <si>
    <t>20604410001118</t>
  </si>
  <si>
    <t>2060441000111111</t>
  </si>
  <si>
    <t>206901000019</t>
  </si>
  <si>
    <t>20690100001076</t>
  </si>
  <si>
    <t>20690100001086</t>
  </si>
  <si>
    <t>20690100001006</t>
  </si>
  <si>
    <t>206901000047037</t>
  </si>
  <si>
    <t>2069020000111111</t>
  </si>
  <si>
    <t>2069980000105</t>
  </si>
  <si>
    <t>2070600000105</t>
  </si>
  <si>
    <t>2070900000105</t>
  </si>
  <si>
    <t>207110000088</t>
  </si>
  <si>
    <t>2071209100111111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</si>
  <si>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</si>
  <si>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</si>
  <si>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</si>
  <si>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</si>
  <si>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</si>
  <si>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</si>
  <si>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2082110000111101</t>
  </si>
  <si>
    <t>2111111997111101</t>
  </si>
  <si>
    <t>2111111999111101</t>
  </si>
  <si>
    <t>20200000001086</t>
  </si>
  <si>
    <t>202409000019</t>
  </si>
  <si>
    <t>20240900002486</t>
  </si>
  <si>
    <t>2049000000111101</t>
  </si>
  <si>
    <t>2060220000111111</t>
  </si>
  <si>
    <t>206998000088</t>
  </si>
  <si>
    <t>2070290000111101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</si>
  <si>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</si>
  <si>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</si>
  <si>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</si>
  <si>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</si>
  <si>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</si>
  <si>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</si>
  <si>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</si>
  <si>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</si>
  <si>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20821100001240</t>
  </si>
  <si>
    <t>2091900000111101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</si>
  <si>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</si>
  <si>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</si>
  <si>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</si>
  <si>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</si>
  <si>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</si>
  <si>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</si>
  <si>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</si>
  <si>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</si>
  <si>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</si>
  <si>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</si>
  <si>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</si>
  <si>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</si>
  <si>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</si>
  <si>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</si>
  <si>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</si>
  <si>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</si>
  <si>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</si>
  <si>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</si>
  <si>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</si>
  <si>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</si>
  <si>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</si>
  <si>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</si>
  <si>
    <t>P&amp;L Statement</t>
  </si>
  <si>
    <t>EUR in millions</t>
  </si>
  <si>
    <t>Check</t>
  </si>
  <si>
    <t>Count_Check</t>
  </si>
  <si>
    <t>Var% FY16-FY17</t>
  </si>
  <si>
    <t>Var% FY17-FY18</t>
  </si>
  <si>
    <t>Formula for calculating year-on-year % variations:</t>
  </si>
  <si>
    <t>IF(ISERROR((D4/C4)-1);"n.a.";IF(((D4/C4)-1)&gt;1;"&gt;100.0%";IF(((D4/C4)-1)&lt;-1;"&lt;-100.0%";((D4/C4)-1))))</t>
  </si>
  <si>
    <t>GM%</t>
  </si>
  <si>
    <t>EBITDA%</t>
  </si>
  <si>
    <t>EBIT%</t>
  </si>
  <si>
    <t>KPI's</t>
  </si>
  <si>
    <t>Column stacked chart: Revenue Breakdown</t>
  </si>
  <si>
    <t>Gross Margin%</t>
  </si>
  <si>
    <t>EBITDA FY17</t>
  </si>
  <si>
    <t>Change in Revenues</t>
  </si>
  <si>
    <t>Change in Opex</t>
  </si>
  <si>
    <t>EBITDA FY18</t>
  </si>
  <si>
    <t>Change in variable costs</t>
  </si>
  <si>
    <t>Bridge chart: 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</si>
</sst>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_(* #,##0.0_);_(* \(#,##0.0\);_(* &quot;-&quot;??_);_(@_)"/>
  </numFmts>
  <fonts count="3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2060"/>
      <name val="Arial"/>
      <family val="2"/>
      <charset val="204"/>
    </font>
    <font>
      <b/>
      <sz val="9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  <charset val="204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indexed="64"/>
      </top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6" fillId="2" borderId="0" xfId="3" applyFont="1" applyFill="1"/>
    <xf numFmtId="0" fontId="2" fillId="2" borderId="0" xfId="0" applyFont="1" applyFill="1" applyAlignment="1">
      <alignment horizontal="left"/>
    </xf>
    <xf numFmtId="0" fontId="17" fillId="2" borderId="2" xfId="0" applyFont="1" applyFill="1" applyBorder="1" applyAlignment="1">
      <alignment horizontal="left"/>
    </xf>
    <xf numFmtId="0" fontId="18" fillId="2" borderId="3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164" fontId="1" fillId="2" borderId="0" xfId="0" applyNumberFormat="1" applyFont="1" applyFill="1"/>
    <xf numFmtId="0" fontId="4" fillId="2" borderId="2" xfId="0" applyFont="1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5" fontId="0" fillId="2" borderId="5" xfId="0" applyNumberFormat="1" applyFill="1" applyBorder="1" applyAlignment="1">
      <alignment horizontal="right"/>
    </xf>
    <xf numFmtId="165" fontId="20" fillId="5" borderId="0" xfId="0" applyNumberFormat="1" applyFont="1" applyFill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19" fillId="2" borderId="4" xfId="0" applyNumberFormat="1" applyFont="1" applyFill="1" applyBorder="1" applyAlignment="1">
      <alignment horizontal="right"/>
    </xf>
    <xf numFmtId="165" fontId="21" fillId="2" borderId="0" xfId="0" applyNumberFormat="1" applyFont="1" applyFill="1" applyAlignment="1">
      <alignment horizontal="right"/>
    </xf>
    <xf numFmtId="165" fontId="24" fillId="2" borderId="6" xfId="0" applyNumberFormat="1" applyFont="1" applyFill="1" applyBorder="1" applyAlignment="1">
      <alignment horizontal="right"/>
    </xf>
    <xf numFmtId="0" fontId="18" fillId="2" borderId="0" xfId="0" applyFont="1" applyFill="1" applyAlignment="1">
      <alignment horizontal="left"/>
    </xf>
    <xf numFmtId="0" fontId="25" fillId="2" borderId="0" xfId="0" applyFont="1" applyFill="1"/>
    <xf numFmtId="9" fontId="26" fillId="2" borderId="0" xfId="4" applyFont="1" applyFill="1" applyAlignment="1">
      <alignment horizontal="right"/>
    </xf>
    <xf numFmtId="9" fontId="26" fillId="2" borderId="5" xfId="4" applyFont="1" applyFill="1" applyBorder="1" applyAlignment="1">
      <alignment horizontal="right"/>
    </xf>
    <xf numFmtId="9" fontId="27" fillId="2" borderId="0" xfId="4" applyFont="1" applyFill="1" applyAlignment="1">
      <alignment horizontal="right"/>
    </xf>
    <xf numFmtId="9" fontId="28" fillId="5" borderId="0" xfId="4" applyFont="1" applyFill="1" applyAlignment="1">
      <alignment horizontal="right"/>
    </xf>
    <xf numFmtId="9" fontId="26" fillId="2" borderId="0" xfId="4" applyFont="1" applyFill="1" applyBorder="1" applyAlignment="1">
      <alignment horizontal="right"/>
    </xf>
    <xf numFmtId="9" fontId="29" fillId="2" borderId="6" xfId="4" applyFont="1" applyFill="1" applyBorder="1" applyAlignment="1">
      <alignment horizontal="right"/>
    </xf>
    <xf numFmtId="9" fontId="0" fillId="2" borderId="0" xfId="4" applyFont="1" applyFill="1"/>
    <xf numFmtId="0" fontId="0" fillId="6" borderId="0" xfId="0" applyFill="1"/>
    <xf numFmtId="9" fontId="0" fillId="6" borderId="0" xfId="4" applyFont="1" applyFill="1"/>
    <xf numFmtId="165" fontId="0" fillId="2" borderId="7" xfId="0" applyNumberFormat="1" applyFill="1" applyBorder="1"/>
    <xf numFmtId="0" fontId="21" fillId="2" borderId="8" xfId="0" applyFont="1" applyFill="1" applyBorder="1"/>
    <xf numFmtId="165" fontId="0" fillId="2" borderId="9" xfId="0" applyNumberFormat="1" applyFill="1" applyBorder="1"/>
    <xf numFmtId="0" fontId="30" fillId="2" borderId="0" xfId="0" applyFont="1" applyFill="1"/>
    <xf numFmtId="0" fontId="30" fillId="2" borderId="4" xfId="0" applyFont="1" applyFill="1" applyBorder="1"/>
    <xf numFmtId="165" fontId="31" fillId="2" borderId="0" xfId="0" applyNumberFormat="1" applyFont="1" applyFill="1"/>
    <xf numFmtId="165" fontId="31" fillId="2" borderId="0" xfId="0" applyNumberFormat="1" applyFont="1" applyFill="1" applyBorder="1"/>
    <xf numFmtId="0" fontId="24" fillId="2" borderId="4" xfId="0" applyFont="1" applyFill="1" applyBorder="1" applyAlignment="1">
      <alignment horizontal="right"/>
    </xf>
    <xf numFmtId="165" fontId="30" fillId="2" borderId="0" xfId="0" applyNumberFormat="1" applyFont="1" applyFill="1" applyAlignment="1">
      <alignment horizontal="right"/>
    </xf>
    <xf numFmtId="9" fontId="30" fillId="2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165" fontId="19" fillId="2" borderId="4" xfId="0" applyNumberFormat="1" applyFont="1" applyFill="1" applyBorder="1" applyAlignment="1">
      <alignment horizontal="right" vertical="center" wrapText="1"/>
    </xf>
    <xf numFmtId="0" fontId="22" fillId="2" borderId="0" xfId="0" applyFont="1" applyFill="1" applyAlignment="1">
      <alignment horizontal="left"/>
    </xf>
    <xf numFmtId="165" fontId="19" fillId="2" borderId="4" xfId="0" applyNumberFormat="1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5" xfId="0" applyNumberFormat="1" applyFont="1" applyFill="1" applyBorder="1" applyAlignment="1">
      <alignment horizontal="left"/>
    </xf>
    <xf numFmtId="165" fontId="0" fillId="2" borderId="0" xfId="0" applyNumberFormat="1" applyFill="1" applyAlignment="1">
      <alignment horizontal="left"/>
    </xf>
    <xf numFmtId="165" fontId="20" fillId="5" borderId="0" xfId="0" applyNumberFormat="1" applyFont="1" applyFill="1" applyAlignment="1">
      <alignment horizontal="left"/>
    </xf>
    <xf numFmtId="165" fontId="1" fillId="2" borderId="0" xfId="0" applyNumberFormat="1" applyFont="1" applyFill="1" applyBorder="1" applyAlignment="1">
      <alignment horizontal="left"/>
    </xf>
    <xf numFmtId="165" fontId="23" fillId="2" borderId="6" xfId="0" applyNumberFormat="1" applyFont="1" applyFill="1" applyBorder="1" applyAlignment="1">
      <alignment horizontal="left"/>
    </xf>
    <xf numFmtId="0" fontId="0" fillId="6" borderId="0" xfId="0" applyFill="1" applyAlignment="1">
      <alignment horizontal="left"/>
    </xf>
    <xf numFmtId="0" fontId="32" fillId="5" borderId="0" xfId="0" applyFont="1" applyFill="1" applyAlignment="1"/>
    <xf numFmtId="166" fontId="1" fillId="2" borderId="0" xfId="0" applyNumberFormat="1" applyFont="1" applyFill="1"/>
    <xf numFmtId="166" fontId="1" fillId="2" borderId="10" xfId="0" applyNumberFormat="1" applyFont="1" applyFill="1" applyBorder="1" applyAlignment="1">
      <alignment horizontal="left" vertical="top"/>
    </xf>
    <xf numFmtId="165" fontId="0" fillId="2" borderId="10" xfId="0" applyNumberFormat="1" applyFill="1" applyBorder="1"/>
    <xf numFmtId="166" fontId="1" fillId="2" borderId="10" xfId="0" applyNumberFormat="1" applyFont="1" applyFill="1" applyBorder="1" applyAlignment="1">
      <alignment horizontal="left" vertical="top" wrapText="1"/>
    </xf>
    <xf numFmtId="166" fontId="18" fillId="2" borderId="10" xfId="0" applyNumberFormat="1" applyFont="1" applyFill="1" applyBorder="1" applyAlignment="1">
      <alignment horizontal="left"/>
    </xf>
    <xf numFmtId="1" fontId="21" fillId="2" borderId="10" xfId="0" applyNumberFormat="1" applyFont="1" applyFill="1" applyBorder="1"/>
    <xf numFmtId="0" fontId="33" fillId="5" borderId="0" xfId="0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Breakdown</a:t>
            </a:r>
          </a:p>
        </c:rich>
      </c:tx>
      <c:layout>
        <c:manualLayout>
          <c:xMode val="edge"/>
          <c:yMode val="edge"/>
          <c:x val="4.6506452395691043E-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column'!$B$5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8-4E4C-8DE8-484E877CB3BB}"/>
            </c:ext>
          </c:extLst>
        </c:ser>
        <c:ser>
          <c:idx val="1"/>
          <c:order val="1"/>
          <c:tx>
            <c:strRef>
              <c:f>'Stacked column'!$B$6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8-4E4C-8DE8-484E877CB3BB}"/>
            </c:ext>
          </c:extLst>
        </c:ser>
        <c:ser>
          <c:idx val="2"/>
          <c:order val="2"/>
          <c:tx>
            <c:strRef>
              <c:f>'Stacked column'!$B$7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58-4E4C-8DE8-484E877CB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37271568"/>
        <c:axId val="837266576"/>
      </c:barChart>
      <c:lineChart>
        <c:grouping val="standard"/>
        <c:varyColors val="0"/>
        <c:ser>
          <c:idx val="3"/>
          <c:order val="3"/>
          <c:tx>
            <c:strRef>
              <c:f>'Stacked column'!$B$8</c:f>
              <c:strCache>
                <c:ptCount val="1"/>
                <c:pt idx="0">
                  <c:v>Gross Margin%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column'!$C$8:$E$8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58-4E4C-8DE8-484E877CB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6483088"/>
        <c:axId val="936484336"/>
      </c:lineChart>
      <c:catAx>
        <c:axId val="83727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66576"/>
        <c:crosses val="autoZero"/>
        <c:auto val="1"/>
        <c:lblAlgn val="ctr"/>
        <c:lblOffset val="100"/>
        <c:noMultiLvlLbl val="0"/>
      </c:catAx>
      <c:valAx>
        <c:axId val="83726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71568"/>
        <c:crosses val="autoZero"/>
        <c:crossBetween val="between"/>
      </c:valAx>
      <c:valAx>
        <c:axId val="9364843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483088"/>
        <c:crosses val="max"/>
        <c:crossBetween val="between"/>
      </c:valAx>
      <c:catAx>
        <c:axId val="93648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6484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lang="en-US" sz="1400" b="0" i="0" u="none" strike="noStrike" kern="1200" spc="0" baseline="0">
                <a:solidFill>
                  <a:schemeClr val="tx2"/>
                </a:solidFill>
                <a:latin typeface="Calibri" panose="020F0502020204030204"/>
              </a:defRPr>
            </a:pPr>
            <a:r>
              <a:rPr lang="en-US" b="1">
                <a:solidFill>
                  <a:schemeClr val="bg1"/>
                </a:solidFill>
              </a:rPr>
              <a:t>EBITDA bridge: FY17-FY18</a:t>
            </a:r>
          </a:p>
        </cx:rich>
      </cx:tx>
      <cx:spPr>
        <a:solidFill>
          <a:srgbClr val="002060"/>
        </a:solidFill>
      </cx:spPr>
    </cx:title>
    <cx:plotArea>
      <cx:plotAreaRegion>
        <cx:series layoutId="waterfall" uniqueId="{86B4C12C-376A-4535-9622-5DF817C61B9D}">
          <cx:dataPt idx="0">
            <cx:spPr>
              <a:solidFill>
                <a:schemeClr val="tx2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chemeClr val="tx2"/>
              </a:solidFill>
            </cx:spPr>
          </cx:dataPt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bg1"/>
                    </a:solidFill>
                    <a:latin typeface="Calibri" panose="020F0502020204030204"/>
                  </a:defRPr>
                </a:pPr>
                <a:endParaRPr lang="en-US" b="1">
                  <a:solidFill>
                    <a:schemeClr val="bg1"/>
                  </a:solidFill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>
        <cx:valScaling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/>
                </a:pPr>
                <a:r>
                  <a:rPr lang="en-US"/>
                  <a:t>EUR in Million</a:t>
                </a:r>
              </a:p>
            </cx:rich>
          </cx:tx>
        </cx:title>
        <cx:majorGridlines/>
        <cx:tickLabels/>
      </cx:axis>
    </cx:plotArea>
  </cx:chart>
  <cx:spPr>
    <a:noFill/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2</xdr:row>
      <xdr:rowOff>71437</xdr:rowOff>
    </xdr:from>
    <xdr:to>
      <xdr:col>16</xdr:col>
      <xdr:colOff>200025</xdr:colOff>
      <xdr:row>16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2</xdr:row>
      <xdr:rowOff>90487</xdr:rowOff>
    </xdr:from>
    <xdr:to>
      <xdr:col>17</xdr:col>
      <xdr:colOff>133350</xdr:colOff>
      <xdr:row>16</xdr:row>
      <xdr:rowOff>52387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D15" sqref="D15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6"/>
  <sheetViews>
    <sheetView tabSelected="1" workbookViewId="0">
      <selection activeCell="K9" sqref="K9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102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18" t="s">
        <v>103</v>
      </c>
    </row>
    <row r="8" spans="2:4" x14ac:dyDescent="0.2">
      <c r="B8" s="7">
        <v>4</v>
      </c>
      <c r="C8" s="18" t="s">
        <v>104</v>
      </c>
    </row>
    <row r="9" spans="2:4" x14ac:dyDescent="0.2">
      <c r="B9" s="7">
        <v>5</v>
      </c>
      <c r="C9" s="18" t="s">
        <v>105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9</v>
      </c>
      <c r="C13" s="11" t="s">
        <v>94</v>
      </c>
      <c r="D13" s="9"/>
    </row>
    <row r="14" spans="2:4" x14ac:dyDescent="0.2">
      <c r="B14" s="7">
        <v>10</v>
      </c>
      <c r="C14" s="14" t="s">
        <v>95</v>
      </c>
    </row>
    <row r="15" spans="2:4" x14ac:dyDescent="0.2">
      <c r="B15" s="7">
        <v>11</v>
      </c>
      <c r="C15" s="14" t="s">
        <v>96</v>
      </c>
    </row>
    <row r="16" spans="2:4" x14ac:dyDescent="0.2">
      <c r="B16" s="7"/>
      <c r="C16" s="14"/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96"/>
  <sheetViews>
    <sheetView workbookViewId="0">
      <selection activeCell="I12" sqref="I12"/>
    </sheetView>
  </sheetViews>
  <sheetFormatPr defaultColWidth="9.140625" defaultRowHeight="12" x14ac:dyDescent="0.2"/>
  <cols>
    <col min="1" max="1" width="1.7109375" style="2" customWidth="1"/>
    <col min="2" max="2" width="17.28515625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6.140625" style="2" bestFit="1" customWidth="1"/>
    <col min="8" max="8" width="16.85546875" style="2" customWidth="1"/>
    <col min="9" max="9" width="10.5703125" style="2" bestFit="1" customWidth="1"/>
    <col min="10" max="16384" width="9.140625" style="2"/>
  </cols>
  <sheetData>
    <row r="1" spans="2:9" ht="15.75" x14ac:dyDescent="0.25">
      <c r="B1" s="3" t="s">
        <v>106</v>
      </c>
    </row>
    <row r="4" spans="2:9" x14ac:dyDescent="0.2">
      <c r="B4" s="2" t="s">
        <v>113</v>
      </c>
      <c r="C4" s="5" t="s">
        <v>109</v>
      </c>
      <c r="D4" s="5" t="s">
        <v>31</v>
      </c>
      <c r="E4" s="5" t="s">
        <v>110</v>
      </c>
      <c r="F4" s="5" t="s">
        <v>111</v>
      </c>
      <c r="G4" s="5" t="s">
        <v>112</v>
      </c>
    </row>
    <row r="5" spans="2:9" x14ac:dyDescent="0.2">
      <c r="B5" s="2" t="s">
        <v>114</v>
      </c>
      <c r="C5" s="5" t="s">
        <v>65</v>
      </c>
      <c r="D5" s="5">
        <v>111111</v>
      </c>
      <c r="E5" s="5" t="s">
        <v>97</v>
      </c>
      <c r="F5" s="15">
        <v>-14500341</v>
      </c>
      <c r="G5" s="5">
        <v>2001110000</v>
      </c>
    </row>
    <row r="6" spans="2:9" x14ac:dyDescent="0.2">
      <c r="B6" s="2" t="s">
        <v>115</v>
      </c>
      <c r="C6" s="5" t="s">
        <v>66</v>
      </c>
      <c r="D6" s="5">
        <v>111111</v>
      </c>
      <c r="E6" s="5" t="s">
        <v>97</v>
      </c>
      <c r="F6" s="15">
        <v>-4794856.1919999998</v>
      </c>
      <c r="G6" s="5">
        <v>2001190000</v>
      </c>
    </row>
    <row r="7" spans="2:9" x14ac:dyDescent="0.2">
      <c r="B7" s="2" t="s">
        <v>116</v>
      </c>
      <c r="C7" s="5" t="s">
        <v>67</v>
      </c>
      <c r="D7" s="5">
        <v>1009</v>
      </c>
      <c r="E7" s="5" t="s">
        <v>35</v>
      </c>
      <c r="F7" s="15">
        <v>-154890.4</v>
      </c>
      <c r="G7" s="5">
        <v>2020000000</v>
      </c>
    </row>
    <row r="8" spans="2:9" x14ac:dyDescent="0.2">
      <c r="B8" s="2" t="s">
        <v>117</v>
      </c>
      <c r="C8" s="5" t="s">
        <v>67</v>
      </c>
      <c r="D8" s="5">
        <v>1007</v>
      </c>
      <c r="E8" s="5" t="s">
        <v>37</v>
      </c>
      <c r="F8" s="15">
        <v>-1180894.0520000001</v>
      </c>
      <c r="G8" s="5">
        <v>2020000000</v>
      </c>
    </row>
    <row r="9" spans="2:9" x14ac:dyDescent="0.2">
      <c r="B9" s="2" t="s">
        <v>118</v>
      </c>
      <c r="C9" s="5" t="s">
        <v>67</v>
      </c>
      <c r="D9" s="5">
        <v>1008</v>
      </c>
      <c r="E9" s="5" t="s">
        <v>39</v>
      </c>
      <c r="F9" s="15">
        <v>-793079.51199999999</v>
      </c>
      <c r="G9" s="5">
        <v>2020000000</v>
      </c>
    </row>
    <row r="10" spans="2:9" x14ac:dyDescent="0.2">
      <c r="B10" s="2" t="s">
        <v>119</v>
      </c>
      <c r="C10" s="5" t="s">
        <v>67</v>
      </c>
      <c r="D10" s="5">
        <v>111101</v>
      </c>
      <c r="E10" s="5" t="s">
        <v>0</v>
      </c>
      <c r="F10" s="15">
        <v>-2277197.6</v>
      </c>
      <c r="G10" s="5">
        <v>2020000000</v>
      </c>
      <c r="I10" s="23"/>
    </row>
    <row r="11" spans="2:9" x14ac:dyDescent="0.2">
      <c r="B11" s="2" t="s">
        <v>120</v>
      </c>
      <c r="C11" s="5" t="s">
        <v>98</v>
      </c>
      <c r="D11" s="5">
        <v>111111</v>
      </c>
      <c r="E11" s="5" t="s">
        <v>97</v>
      </c>
      <c r="F11" s="15">
        <v>4428911.7640000004</v>
      </c>
      <c r="G11" s="5">
        <v>2021900000</v>
      </c>
    </row>
    <row r="12" spans="2:9" x14ac:dyDescent="0.2">
      <c r="B12" s="2" t="s">
        <v>121</v>
      </c>
      <c r="C12" s="5" t="s">
        <v>69</v>
      </c>
      <c r="D12" s="5">
        <v>111111</v>
      </c>
      <c r="E12" s="5" t="s">
        <v>97</v>
      </c>
      <c r="F12" s="15">
        <v>16977.628000000001</v>
      </c>
      <c r="G12" s="5">
        <v>2024080000</v>
      </c>
    </row>
    <row r="13" spans="2:9" x14ac:dyDescent="0.2">
      <c r="B13" s="2" t="s">
        <v>122</v>
      </c>
      <c r="C13" s="5" t="s">
        <v>68</v>
      </c>
      <c r="D13" s="5">
        <v>88</v>
      </c>
      <c r="E13" s="5" t="s">
        <v>32</v>
      </c>
      <c r="F13" s="15">
        <v>2245437.54</v>
      </c>
      <c r="G13" s="5">
        <v>2024090000</v>
      </c>
    </row>
    <row r="14" spans="2:9" x14ac:dyDescent="0.2">
      <c r="B14" s="2" t="s">
        <v>123</v>
      </c>
      <c r="C14" s="5" t="s">
        <v>68</v>
      </c>
      <c r="D14" s="5">
        <v>111111</v>
      </c>
      <c r="E14" s="5" t="s">
        <v>97</v>
      </c>
      <c r="F14" s="15">
        <v>16605.634000000002</v>
      </c>
      <c r="G14" s="5">
        <v>2024090000</v>
      </c>
    </row>
    <row r="15" spans="2:9" x14ac:dyDescent="0.2">
      <c r="B15" s="2" t="s">
        <v>124</v>
      </c>
      <c r="C15" s="5" t="s">
        <v>1</v>
      </c>
      <c r="D15" s="5">
        <v>111111</v>
      </c>
      <c r="E15" s="5" t="s">
        <v>97</v>
      </c>
      <c r="F15" s="15">
        <v>4683394.0460000001</v>
      </c>
      <c r="G15" s="5">
        <v>2041000000</v>
      </c>
    </row>
    <row r="16" spans="2:9" x14ac:dyDescent="0.2">
      <c r="B16" s="2" t="s">
        <v>125</v>
      </c>
      <c r="C16" s="5" t="s">
        <v>70</v>
      </c>
      <c r="D16" s="5">
        <v>111101</v>
      </c>
      <c r="E16" s="5" t="s">
        <v>0</v>
      </c>
      <c r="F16" s="15">
        <v>1143051.5760000001</v>
      </c>
      <c r="G16" s="5">
        <v>2042000000</v>
      </c>
    </row>
    <row r="17" spans="2:7" x14ac:dyDescent="0.2">
      <c r="B17" s="2" t="s">
        <v>126</v>
      </c>
      <c r="C17" s="5" t="s">
        <v>70</v>
      </c>
      <c r="D17" s="5">
        <v>88</v>
      </c>
      <c r="E17" s="5" t="s">
        <v>32</v>
      </c>
      <c r="F17" s="15">
        <v>239379.61800000002</v>
      </c>
      <c r="G17" s="5">
        <v>2042000000</v>
      </c>
    </row>
    <row r="18" spans="2:7" x14ac:dyDescent="0.2">
      <c r="B18" s="2" t="s">
        <v>127</v>
      </c>
      <c r="C18" s="5" t="s">
        <v>71</v>
      </c>
      <c r="D18" s="5">
        <v>111101</v>
      </c>
      <c r="E18" s="5" t="s">
        <v>0</v>
      </c>
      <c r="F18" s="15">
        <v>104913.8</v>
      </c>
      <c r="G18" s="5">
        <v>2045000000</v>
      </c>
    </row>
    <row r="19" spans="2:7" x14ac:dyDescent="0.2">
      <c r="B19" s="2" t="s">
        <v>128</v>
      </c>
      <c r="C19" s="5" t="s">
        <v>72</v>
      </c>
      <c r="D19" s="5">
        <v>111101</v>
      </c>
      <c r="E19" s="5" t="s">
        <v>0</v>
      </c>
      <c r="F19" s="15">
        <v>2003262.2180000001</v>
      </c>
      <c r="G19" s="5">
        <v>2051210000</v>
      </c>
    </row>
    <row r="20" spans="2:7" x14ac:dyDescent="0.2">
      <c r="B20" s="2" t="s">
        <v>129</v>
      </c>
      <c r="C20" s="5" t="s">
        <v>72</v>
      </c>
      <c r="D20" s="5">
        <v>1</v>
      </c>
      <c r="E20" s="5" t="s">
        <v>0</v>
      </c>
      <c r="F20" s="15">
        <v>41981.296000000002</v>
      </c>
      <c r="G20" s="5">
        <v>2051210000</v>
      </c>
    </row>
    <row r="21" spans="2:7" x14ac:dyDescent="0.2">
      <c r="B21" s="2" t="s">
        <v>130</v>
      </c>
      <c r="C21" s="5" t="s">
        <v>73</v>
      </c>
      <c r="D21" s="5" t="s">
        <v>3</v>
      </c>
      <c r="E21" s="5" t="s">
        <v>40</v>
      </c>
      <c r="F21" s="15">
        <v>-2156147.4</v>
      </c>
      <c r="G21" s="5">
        <v>2069010000</v>
      </c>
    </row>
    <row r="22" spans="2:7" x14ac:dyDescent="0.2">
      <c r="B22" s="2" t="s">
        <v>131</v>
      </c>
      <c r="C22" s="5" t="s">
        <v>73</v>
      </c>
      <c r="D22" s="5">
        <v>14</v>
      </c>
      <c r="E22" s="5" t="s">
        <v>41</v>
      </c>
      <c r="F22" s="15">
        <v>-291428.55199999997</v>
      </c>
      <c r="G22" s="5">
        <v>2069010000</v>
      </c>
    </row>
    <row r="23" spans="2:7" x14ac:dyDescent="0.2">
      <c r="B23" s="2" t="s">
        <v>132</v>
      </c>
      <c r="C23" s="5" t="s">
        <v>73</v>
      </c>
      <c r="D23" s="5">
        <v>1037</v>
      </c>
      <c r="E23" s="5" t="s">
        <v>46</v>
      </c>
      <c r="F23" s="15">
        <v>0</v>
      </c>
      <c r="G23" s="5">
        <v>2069010000</v>
      </c>
    </row>
    <row r="24" spans="2:7" x14ac:dyDescent="0.2">
      <c r="B24" s="2" t="s">
        <v>133</v>
      </c>
      <c r="C24" s="5" t="s">
        <v>73</v>
      </c>
      <c r="D24" s="5" t="s">
        <v>4</v>
      </c>
      <c r="E24" s="5" t="s">
        <v>45</v>
      </c>
      <c r="F24" s="15">
        <v>-33736.5</v>
      </c>
      <c r="G24" s="5">
        <v>2069010000</v>
      </c>
    </row>
    <row r="25" spans="2:7" x14ac:dyDescent="0.2">
      <c r="B25" s="2" t="s">
        <v>134</v>
      </c>
      <c r="C25" s="5" t="s">
        <v>73</v>
      </c>
      <c r="D25" s="5">
        <v>1009</v>
      </c>
      <c r="E25" s="5" t="s">
        <v>35</v>
      </c>
      <c r="F25" s="15">
        <v>0</v>
      </c>
      <c r="G25" s="5">
        <v>2069010000</v>
      </c>
    </row>
    <row r="26" spans="2:7" x14ac:dyDescent="0.2">
      <c r="B26" s="2" t="s">
        <v>135</v>
      </c>
      <c r="C26" s="5" t="s">
        <v>73</v>
      </c>
      <c r="D26" s="5">
        <v>1007</v>
      </c>
      <c r="E26" s="5" t="s">
        <v>37</v>
      </c>
      <c r="F26" s="15">
        <v>0</v>
      </c>
      <c r="G26" s="5">
        <v>2069010000</v>
      </c>
    </row>
    <row r="27" spans="2:7" x14ac:dyDescent="0.2">
      <c r="B27" s="2" t="s">
        <v>136</v>
      </c>
      <c r="C27" s="5" t="s">
        <v>73</v>
      </c>
      <c r="D27" s="5">
        <v>1008</v>
      </c>
      <c r="E27" s="5" t="s">
        <v>39</v>
      </c>
      <c r="F27" s="15">
        <v>0</v>
      </c>
      <c r="G27" s="5">
        <v>2069010000</v>
      </c>
    </row>
    <row r="28" spans="2:7" x14ac:dyDescent="0.2">
      <c r="B28" s="2" t="s">
        <v>137</v>
      </c>
      <c r="C28" s="5" t="s">
        <v>73</v>
      </c>
      <c r="D28" s="5">
        <v>1240</v>
      </c>
      <c r="E28" s="5" t="s">
        <v>44</v>
      </c>
      <c r="F28" s="15">
        <v>-199600.4</v>
      </c>
      <c r="G28" s="5">
        <v>2069010000</v>
      </c>
    </row>
    <row r="29" spans="2:7" x14ac:dyDescent="0.2">
      <c r="B29" s="2" t="s">
        <v>138</v>
      </c>
      <c r="C29" s="5" t="s">
        <v>73</v>
      </c>
      <c r="D29" s="5">
        <v>111111</v>
      </c>
      <c r="E29" s="5" t="s">
        <v>97</v>
      </c>
      <c r="F29" s="15">
        <v>-539141.4</v>
      </c>
      <c r="G29" s="5">
        <v>2069010000</v>
      </c>
    </row>
    <row r="30" spans="2:7" x14ac:dyDescent="0.2">
      <c r="B30" s="2" t="s">
        <v>139</v>
      </c>
      <c r="C30" s="5" t="s">
        <v>74</v>
      </c>
      <c r="D30" s="5">
        <v>111111</v>
      </c>
      <c r="E30" s="5" t="s">
        <v>97</v>
      </c>
      <c r="F30" s="15">
        <v>-57.221999999999994</v>
      </c>
      <c r="G30" s="5">
        <v>2069980000</v>
      </c>
    </row>
    <row r="31" spans="2:7" x14ac:dyDescent="0.2">
      <c r="B31" s="2" t="s">
        <v>140</v>
      </c>
      <c r="C31" s="5" t="s">
        <v>75</v>
      </c>
      <c r="D31" s="5">
        <v>111111</v>
      </c>
      <c r="E31" s="5" t="s">
        <v>97</v>
      </c>
      <c r="F31" s="15">
        <v>22314.879999999997</v>
      </c>
      <c r="G31" s="5">
        <v>2070400000</v>
      </c>
    </row>
    <row r="32" spans="2:7" x14ac:dyDescent="0.2">
      <c r="B32" s="2" t="s">
        <v>141</v>
      </c>
      <c r="C32" s="5" t="s">
        <v>76</v>
      </c>
      <c r="D32" s="5">
        <v>88</v>
      </c>
      <c r="E32" s="5" t="s">
        <v>32</v>
      </c>
      <c r="F32" s="15">
        <v>204000</v>
      </c>
      <c r="G32" s="5">
        <v>2070500000</v>
      </c>
    </row>
    <row r="33" spans="2:7" x14ac:dyDescent="0.2">
      <c r="B33" s="2" t="s">
        <v>142</v>
      </c>
      <c r="C33" s="5" t="s">
        <v>76</v>
      </c>
      <c r="D33" s="5">
        <v>111111</v>
      </c>
      <c r="E33" s="5" t="s">
        <v>97</v>
      </c>
      <c r="F33" s="15">
        <v>138.41399999999999</v>
      </c>
      <c r="G33" s="5">
        <v>2070500000</v>
      </c>
    </row>
    <row r="34" spans="2:7" x14ac:dyDescent="0.2">
      <c r="B34" s="2" t="s">
        <v>143</v>
      </c>
      <c r="C34" s="5" t="s">
        <v>77</v>
      </c>
      <c r="D34" s="5">
        <v>111111</v>
      </c>
      <c r="E34" s="5" t="s">
        <v>97</v>
      </c>
      <c r="F34" s="15">
        <v>1127445.872</v>
      </c>
      <c r="G34" s="5">
        <v>2070600000</v>
      </c>
    </row>
    <row r="35" spans="2:7" x14ac:dyDescent="0.2">
      <c r="B35" s="2" t="s">
        <v>144</v>
      </c>
      <c r="C35" s="5" t="s">
        <v>78</v>
      </c>
      <c r="D35" s="5" t="s">
        <v>5</v>
      </c>
      <c r="E35" s="5" t="s">
        <v>42</v>
      </c>
      <c r="F35" s="15">
        <v>133722</v>
      </c>
      <c r="G35" s="5">
        <v>2070900000</v>
      </c>
    </row>
    <row r="36" spans="2:7" x14ac:dyDescent="0.2">
      <c r="B36" s="2" t="s">
        <v>145</v>
      </c>
      <c r="C36" s="5" t="s">
        <v>78</v>
      </c>
      <c r="D36" s="5" t="s">
        <v>6</v>
      </c>
      <c r="E36" s="5" t="s">
        <v>43</v>
      </c>
      <c r="F36" s="15">
        <v>328061.886</v>
      </c>
      <c r="G36" s="5">
        <v>2070900000</v>
      </c>
    </row>
    <row r="37" spans="2:7" x14ac:dyDescent="0.2">
      <c r="B37" s="2" t="s">
        <v>146</v>
      </c>
      <c r="C37" s="5" t="s">
        <v>78</v>
      </c>
      <c r="D37" s="5">
        <v>111111</v>
      </c>
      <c r="E37" s="5" t="s">
        <v>97</v>
      </c>
      <c r="F37" s="15">
        <v>2081304.3219999997</v>
      </c>
      <c r="G37" s="5">
        <v>2070900000</v>
      </c>
    </row>
    <row r="38" spans="2:7" x14ac:dyDescent="0.2">
      <c r="B38" s="2" t="s">
        <v>147</v>
      </c>
      <c r="C38" s="5" t="s">
        <v>7</v>
      </c>
      <c r="D38" s="5">
        <v>111111</v>
      </c>
      <c r="E38" s="5" t="s">
        <v>97</v>
      </c>
      <c r="F38" s="15">
        <v>33410.031999999999</v>
      </c>
      <c r="G38" s="5">
        <v>2071000000</v>
      </c>
    </row>
    <row r="39" spans="2:7" x14ac:dyDescent="0.2">
      <c r="B39" s="2" t="s">
        <v>148</v>
      </c>
      <c r="C39" s="5" t="s">
        <v>79</v>
      </c>
      <c r="D39" s="5">
        <v>111111</v>
      </c>
      <c r="E39" s="5" t="s">
        <v>97</v>
      </c>
      <c r="F39" s="15">
        <v>213090.85199999998</v>
      </c>
      <c r="G39" s="5">
        <v>2071100000</v>
      </c>
    </row>
    <row r="40" spans="2:7" x14ac:dyDescent="0.2">
      <c r="B40" s="2" t="s">
        <v>149</v>
      </c>
      <c r="C40" s="5" t="s">
        <v>8</v>
      </c>
      <c r="D40" s="5">
        <v>111111</v>
      </c>
      <c r="E40" s="5" t="s">
        <v>97</v>
      </c>
      <c r="F40" s="15">
        <v>1813525.004</v>
      </c>
      <c r="G40" s="5">
        <v>2071209200</v>
      </c>
    </row>
    <row r="41" spans="2:7" x14ac:dyDescent="0.2">
      <c r="B41" s="2" t="s">
        <v>150</v>
      </c>
      <c r="C41" s="5" t="s">
        <v>80</v>
      </c>
      <c r="D41" s="5">
        <v>111111</v>
      </c>
      <c r="E41" s="5" t="s">
        <v>97</v>
      </c>
      <c r="F41" s="15">
        <v>5552.2</v>
      </c>
      <c r="G41" s="5">
        <v>2071209400</v>
      </c>
    </row>
    <row r="42" spans="2:7" x14ac:dyDescent="0.2">
      <c r="B42" s="2" t="s">
        <v>151</v>
      </c>
      <c r="C42" s="5" t="s">
        <v>81</v>
      </c>
      <c r="D42" s="5">
        <v>111111</v>
      </c>
      <c r="E42" s="5" t="s">
        <v>97</v>
      </c>
      <c r="F42" s="15">
        <v>43868.975999999995</v>
      </c>
      <c r="G42" s="5">
        <v>2071209500</v>
      </c>
    </row>
    <row r="43" spans="2:7" x14ac:dyDescent="0.2">
      <c r="B43" s="2" t="s">
        <v>152</v>
      </c>
      <c r="C43" s="5" t="s">
        <v>82</v>
      </c>
      <c r="D43" s="5">
        <v>111101</v>
      </c>
      <c r="E43" s="5" t="s">
        <v>0</v>
      </c>
      <c r="F43" s="15">
        <v>10934.671999999999</v>
      </c>
      <c r="G43" s="5">
        <v>2071980000</v>
      </c>
    </row>
    <row r="44" spans="2:7" x14ac:dyDescent="0.2">
      <c r="B44" s="2" t="s">
        <v>153</v>
      </c>
      <c r="C44" s="5" t="s">
        <v>83</v>
      </c>
      <c r="D44" s="5">
        <v>111111</v>
      </c>
      <c r="E44" s="5" t="s">
        <v>97</v>
      </c>
      <c r="F44" s="15">
        <v>20400</v>
      </c>
      <c r="G44" s="5">
        <v>2079022000</v>
      </c>
    </row>
    <row r="45" spans="2:7" x14ac:dyDescent="0.2">
      <c r="B45" s="2" t="s">
        <v>154</v>
      </c>
      <c r="C45" s="5" t="s">
        <v>84</v>
      </c>
      <c r="D45" s="5">
        <v>105</v>
      </c>
      <c r="E45" s="5" t="s">
        <v>33</v>
      </c>
      <c r="F45" s="15">
        <v>0</v>
      </c>
      <c r="G45" s="5">
        <v>2079070000</v>
      </c>
    </row>
    <row r="46" spans="2:7" x14ac:dyDescent="0.2">
      <c r="B46" s="2" t="s">
        <v>155</v>
      </c>
      <c r="C46" s="5" t="s">
        <v>84</v>
      </c>
      <c r="D46" s="5">
        <v>111111</v>
      </c>
      <c r="E46" s="5" t="s">
        <v>97</v>
      </c>
      <c r="F46" s="15">
        <v>563918.152</v>
      </c>
      <c r="G46" s="5">
        <v>2079070000</v>
      </c>
    </row>
    <row r="47" spans="2:7" x14ac:dyDescent="0.2">
      <c r="B47" s="2" t="s">
        <v>156</v>
      </c>
      <c r="C47" s="5" t="s">
        <v>85</v>
      </c>
      <c r="D47" s="5">
        <v>1009</v>
      </c>
      <c r="E47" s="5" t="s">
        <v>35</v>
      </c>
      <c r="F47" s="15">
        <v>0</v>
      </c>
      <c r="G47" s="5">
        <v>2079080000</v>
      </c>
    </row>
    <row r="48" spans="2:7" x14ac:dyDescent="0.2">
      <c r="B48" s="2" t="s">
        <v>157</v>
      </c>
      <c r="C48" s="5" t="s">
        <v>85</v>
      </c>
      <c r="D48" s="5">
        <v>1007</v>
      </c>
      <c r="E48" s="5" t="s">
        <v>37</v>
      </c>
      <c r="F48" s="15">
        <v>0</v>
      </c>
      <c r="G48" s="5">
        <v>2079080000</v>
      </c>
    </row>
    <row r="49" spans="2:7" x14ac:dyDescent="0.2">
      <c r="B49" s="2" t="s">
        <v>158</v>
      </c>
      <c r="C49" s="5" t="s">
        <v>85</v>
      </c>
      <c r="D49" s="5">
        <v>1008</v>
      </c>
      <c r="E49" s="5" t="s">
        <v>39</v>
      </c>
      <c r="F49" s="15">
        <v>0</v>
      </c>
      <c r="G49" s="5">
        <v>2079080000</v>
      </c>
    </row>
    <row r="50" spans="2:7" x14ac:dyDescent="0.2">
      <c r="B50" s="2" t="s">
        <v>159</v>
      </c>
      <c r="C50" s="5" t="s">
        <v>86</v>
      </c>
      <c r="D50" s="5">
        <v>1009</v>
      </c>
      <c r="E50" s="5" t="s">
        <v>35</v>
      </c>
      <c r="F50" s="15">
        <v>0</v>
      </c>
      <c r="G50" s="5">
        <v>2082280000</v>
      </c>
    </row>
    <row r="51" spans="2:7" x14ac:dyDescent="0.2">
      <c r="B51" s="2" t="s">
        <v>160</v>
      </c>
      <c r="C51" s="5" t="s">
        <v>86</v>
      </c>
      <c r="D51" s="5">
        <v>1007</v>
      </c>
      <c r="E51" s="5" t="s">
        <v>37</v>
      </c>
      <c r="F51" s="15">
        <v>0</v>
      </c>
      <c r="G51" s="5">
        <v>2082280000</v>
      </c>
    </row>
    <row r="52" spans="2:7" x14ac:dyDescent="0.2">
      <c r="B52" s="2" t="s">
        <v>161</v>
      </c>
      <c r="C52" s="5" t="s">
        <v>86</v>
      </c>
      <c r="D52" s="5">
        <v>1008</v>
      </c>
      <c r="E52" s="5" t="s">
        <v>39</v>
      </c>
      <c r="F52" s="15">
        <v>0</v>
      </c>
      <c r="G52" s="5">
        <v>2082280000</v>
      </c>
    </row>
    <row r="53" spans="2:7" x14ac:dyDescent="0.2">
      <c r="B53" s="2" t="s">
        <v>162</v>
      </c>
      <c r="C53" s="5" t="s">
        <v>86</v>
      </c>
      <c r="D53" s="5">
        <v>1240</v>
      </c>
      <c r="E53" s="5" t="s">
        <v>44</v>
      </c>
      <c r="F53" s="15">
        <v>-35810.228000000003</v>
      </c>
      <c r="G53" s="5">
        <v>2082280000</v>
      </c>
    </row>
    <row r="54" spans="2:7" x14ac:dyDescent="0.2">
      <c r="B54" s="2" t="s">
        <v>163</v>
      </c>
      <c r="C54" s="5" t="s">
        <v>86</v>
      </c>
      <c r="D54" s="5">
        <v>111111</v>
      </c>
      <c r="E54" s="5" t="s">
        <v>97</v>
      </c>
      <c r="F54" s="15">
        <v>-51927.417999999998</v>
      </c>
      <c r="G54" s="5">
        <v>2082280000</v>
      </c>
    </row>
    <row r="55" spans="2:7" x14ac:dyDescent="0.2">
      <c r="B55" s="2" t="s">
        <v>164</v>
      </c>
      <c r="C55" s="5" t="s">
        <v>9</v>
      </c>
      <c r="D55" s="5">
        <v>111101</v>
      </c>
      <c r="E55" s="5" t="s">
        <v>0</v>
      </c>
      <c r="F55" s="15">
        <v>-862270.63399999996</v>
      </c>
      <c r="G55" s="5">
        <v>2082202000</v>
      </c>
    </row>
    <row r="56" spans="2:7" x14ac:dyDescent="0.2">
      <c r="B56" s="2" t="s">
        <v>165</v>
      </c>
      <c r="C56" s="5" t="s">
        <v>87</v>
      </c>
      <c r="D56" s="5">
        <v>111101</v>
      </c>
      <c r="E56" s="5" t="s">
        <v>0</v>
      </c>
      <c r="F56" s="15">
        <v>22763</v>
      </c>
      <c r="G56" s="5">
        <v>2082208200</v>
      </c>
    </row>
    <row r="57" spans="2:7" x14ac:dyDescent="0.2">
      <c r="B57" s="2" t="s">
        <v>166</v>
      </c>
      <c r="C57" s="5" t="s">
        <v>88</v>
      </c>
      <c r="D57" s="5">
        <v>88</v>
      </c>
      <c r="E57" s="5" t="s">
        <v>32</v>
      </c>
      <c r="F57" s="15">
        <v>2930430.0120000001</v>
      </c>
      <c r="G57" s="5">
        <v>2082214000</v>
      </c>
    </row>
    <row r="58" spans="2:7" x14ac:dyDescent="0.2">
      <c r="B58" s="2" t="s">
        <v>167</v>
      </c>
      <c r="C58" s="5" t="s">
        <v>89</v>
      </c>
      <c r="D58" s="5">
        <v>111101</v>
      </c>
      <c r="E58" s="5" t="s">
        <v>0</v>
      </c>
      <c r="F58" s="15">
        <v>-49378.641999999993</v>
      </c>
      <c r="G58" s="5">
        <v>2091200000</v>
      </c>
    </row>
    <row r="59" spans="2:7" x14ac:dyDescent="0.2">
      <c r="B59" s="2" t="s">
        <v>168</v>
      </c>
      <c r="C59" s="5" t="s">
        <v>90</v>
      </c>
      <c r="D59" s="5">
        <v>111101</v>
      </c>
      <c r="E59" s="5" t="s">
        <v>0</v>
      </c>
      <c r="F59" s="15">
        <v>516250.67</v>
      </c>
      <c r="G59" s="5">
        <v>2091200001</v>
      </c>
    </row>
    <row r="60" spans="2:7" x14ac:dyDescent="0.2">
      <c r="B60" s="2" t="s">
        <v>169</v>
      </c>
      <c r="C60" s="5" t="s">
        <v>91</v>
      </c>
      <c r="D60" s="5">
        <v>111101</v>
      </c>
      <c r="E60" s="5" t="s">
        <v>0</v>
      </c>
      <c r="F60" s="15">
        <v>21593.093999999997</v>
      </c>
      <c r="G60" s="5">
        <v>2092200000</v>
      </c>
    </row>
    <row r="61" spans="2:7" x14ac:dyDescent="0.2">
      <c r="B61" s="2" t="s">
        <v>170</v>
      </c>
      <c r="C61" s="16" t="s">
        <v>64</v>
      </c>
      <c r="D61" s="16">
        <v>111101</v>
      </c>
      <c r="E61" s="16" t="s">
        <v>0</v>
      </c>
      <c r="F61" s="17">
        <v>-2904117.9939999986</v>
      </c>
      <c r="G61" s="16">
        <v>2999999999</v>
      </c>
    </row>
    <row r="62" spans="2:7" x14ac:dyDescent="0.2">
      <c r="D62" s="5"/>
    </row>
    <row r="63" spans="2:7" x14ac:dyDescent="0.2">
      <c r="D63" s="5"/>
    </row>
    <row r="64" spans="2:7" x14ac:dyDescent="0.2">
      <c r="D64" s="5"/>
    </row>
    <row r="65" spans="4:4" x14ac:dyDescent="0.2">
      <c r="D65" s="5"/>
    </row>
    <row r="66" spans="4:4" x14ac:dyDescent="0.2">
      <c r="D66" s="5"/>
    </row>
    <row r="67" spans="4:4" x14ac:dyDescent="0.2">
      <c r="D67" s="5"/>
    </row>
    <row r="68" spans="4:4" x14ac:dyDescent="0.2">
      <c r="D68" s="5"/>
    </row>
    <row r="69" spans="4:4" x14ac:dyDescent="0.2">
      <c r="D69" s="5"/>
    </row>
    <row r="70" spans="4:4" x14ac:dyDescent="0.2">
      <c r="D70" s="5"/>
    </row>
    <row r="71" spans="4:4" x14ac:dyDescent="0.2">
      <c r="D71" s="5"/>
    </row>
    <row r="72" spans="4:4" x14ac:dyDescent="0.2">
      <c r="D72" s="5"/>
    </row>
    <row r="73" spans="4:4" x14ac:dyDescent="0.2">
      <c r="D73" s="5"/>
    </row>
    <row r="74" spans="4:4" x14ac:dyDescent="0.2">
      <c r="D74" s="5"/>
    </row>
    <row r="75" spans="4:4" x14ac:dyDescent="0.2">
      <c r="D75" s="5"/>
    </row>
    <row r="76" spans="4:4" x14ac:dyDescent="0.2">
      <c r="D76" s="5"/>
    </row>
    <row r="77" spans="4:4" x14ac:dyDescent="0.2">
      <c r="D77" s="5"/>
    </row>
    <row r="78" spans="4:4" x14ac:dyDescent="0.2">
      <c r="D78" s="5"/>
    </row>
    <row r="79" spans="4:4" x14ac:dyDescent="0.2">
      <c r="D79" s="5"/>
    </row>
    <row r="80" spans="4:4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29"/>
  <sheetViews>
    <sheetView workbookViewId="0">
      <selection activeCell="B1" sqref="B1"/>
    </sheetView>
  </sheetViews>
  <sheetFormatPr defaultColWidth="9.140625" defaultRowHeight="15" x14ac:dyDescent="0.25"/>
  <cols>
    <col min="1" max="1" width="2.5703125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6.140625" style="2" bestFit="1" customWidth="1"/>
    <col min="8" max="8" width="9.140625" style="1"/>
    <col min="9" max="16384" width="9.140625" style="2"/>
  </cols>
  <sheetData>
    <row r="1" spans="2:10" ht="15.75" x14ac:dyDescent="0.25">
      <c r="B1" s="3" t="s">
        <v>107</v>
      </c>
    </row>
    <row r="4" spans="2:10" x14ac:dyDescent="0.25">
      <c r="B4" s="5" t="s">
        <v>113</v>
      </c>
      <c r="C4" s="5" t="s">
        <v>109</v>
      </c>
      <c r="D4" s="5" t="s">
        <v>31</v>
      </c>
      <c r="E4" s="5" t="s">
        <v>110</v>
      </c>
      <c r="F4" s="5" t="s">
        <v>111</v>
      </c>
      <c r="G4" s="5" t="s">
        <v>112</v>
      </c>
    </row>
    <row r="5" spans="2:10" x14ac:dyDescent="0.25">
      <c r="B5" s="5" t="s">
        <v>171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  <c r="J5" s="5"/>
    </row>
    <row r="6" spans="2:10" x14ac:dyDescent="0.25">
      <c r="B6" s="5" t="s">
        <v>114</v>
      </c>
      <c r="C6" s="5" t="s">
        <v>65</v>
      </c>
      <c r="D6" s="5">
        <v>111111</v>
      </c>
      <c r="E6" s="5" t="s">
        <v>97</v>
      </c>
      <c r="F6" s="15">
        <v>-15792898.75</v>
      </c>
      <c r="G6" s="5">
        <v>2001110000</v>
      </c>
      <c r="J6" s="5"/>
    </row>
    <row r="7" spans="2:10" x14ac:dyDescent="0.25">
      <c r="B7" s="5" t="s">
        <v>115</v>
      </c>
      <c r="C7" s="5" t="s">
        <v>66</v>
      </c>
      <c r="D7" s="5">
        <v>111111</v>
      </c>
      <c r="E7" s="5" t="s">
        <v>97</v>
      </c>
      <c r="F7" s="15">
        <v>-6960217.6449999996</v>
      </c>
      <c r="G7" s="5">
        <v>2001190000</v>
      </c>
      <c r="J7" s="5"/>
    </row>
    <row r="8" spans="2:10" x14ac:dyDescent="0.25">
      <c r="B8" s="5" t="s">
        <v>202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  <c r="J8" s="5"/>
    </row>
    <row r="9" spans="2:10" x14ac:dyDescent="0.25">
      <c r="B9" s="5" t="s">
        <v>117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  <c r="J9" s="5"/>
    </row>
    <row r="10" spans="2:10" x14ac:dyDescent="0.25">
      <c r="B10" s="5" t="s">
        <v>118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  <c r="J10" s="5"/>
    </row>
    <row r="11" spans="2:10" x14ac:dyDescent="0.25">
      <c r="B11" s="5" t="s">
        <v>119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  <c r="J11" s="5"/>
    </row>
    <row r="12" spans="2:10" x14ac:dyDescent="0.25">
      <c r="B12" s="5" t="s">
        <v>172</v>
      </c>
      <c r="C12" s="5" t="s">
        <v>99</v>
      </c>
      <c r="D12" s="5">
        <v>111111</v>
      </c>
      <c r="E12" s="5" t="s">
        <v>97</v>
      </c>
      <c r="F12" s="15">
        <v>14589.33</v>
      </c>
      <c r="G12" s="5">
        <v>2021210000</v>
      </c>
      <c r="J12" s="5"/>
    </row>
    <row r="13" spans="2:10" x14ac:dyDescent="0.25">
      <c r="B13" s="5" t="s">
        <v>120</v>
      </c>
      <c r="C13" s="5" t="s">
        <v>98</v>
      </c>
      <c r="D13" s="5">
        <v>111111</v>
      </c>
      <c r="E13" s="5" t="s">
        <v>97</v>
      </c>
      <c r="F13" s="15">
        <v>5463188.8250000002</v>
      </c>
      <c r="G13" s="5">
        <v>2021900000</v>
      </c>
      <c r="J13" s="5"/>
    </row>
    <row r="14" spans="2:10" x14ac:dyDescent="0.25">
      <c r="B14" s="5" t="s">
        <v>121</v>
      </c>
      <c r="C14" s="5" t="s">
        <v>69</v>
      </c>
      <c r="D14" s="5">
        <v>111111</v>
      </c>
      <c r="E14" s="5" t="s">
        <v>97</v>
      </c>
      <c r="F14" s="15">
        <v>343675</v>
      </c>
      <c r="G14" s="5">
        <v>2024080000</v>
      </c>
      <c r="J14" s="5"/>
    </row>
    <row r="15" spans="2:10" x14ac:dyDescent="0.25">
      <c r="B15" s="5" t="s">
        <v>203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  <c r="J15" s="5"/>
    </row>
    <row r="16" spans="2:10" x14ac:dyDescent="0.25">
      <c r="B16" s="5" t="s">
        <v>122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  <c r="J16" s="5"/>
    </row>
    <row r="17" spans="2:10" x14ac:dyDescent="0.25">
      <c r="B17" s="5" t="s">
        <v>174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  <c r="J17" s="5"/>
    </row>
    <row r="18" spans="2:10" x14ac:dyDescent="0.25">
      <c r="B18" s="5" t="s">
        <v>175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  <c r="J18" s="5"/>
    </row>
    <row r="19" spans="2:10" x14ac:dyDescent="0.25">
      <c r="B19" s="5" t="s">
        <v>204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  <c r="J19" s="5"/>
    </row>
    <row r="20" spans="2:10" x14ac:dyDescent="0.25">
      <c r="B20" s="5" t="s">
        <v>123</v>
      </c>
      <c r="C20" s="5" t="s">
        <v>68</v>
      </c>
      <c r="D20" s="5">
        <v>111111</v>
      </c>
      <c r="E20" s="5" t="s">
        <v>97</v>
      </c>
      <c r="F20" s="15">
        <v>27148.625</v>
      </c>
      <c r="G20" s="5">
        <v>2024090000</v>
      </c>
      <c r="J20" s="5"/>
    </row>
    <row r="21" spans="2:10" x14ac:dyDescent="0.25">
      <c r="B21" s="5" t="s">
        <v>124</v>
      </c>
      <c r="C21" s="5" t="s">
        <v>1</v>
      </c>
      <c r="D21" s="5">
        <v>111111</v>
      </c>
      <c r="E21" s="5" t="s">
        <v>97</v>
      </c>
      <c r="F21" s="15">
        <v>5507141.0549999997</v>
      </c>
      <c r="G21" s="5">
        <v>2041000000</v>
      </c>
      <c r="J21" s="5"/>
    </row>
    <row r="22" spans="2:10" x14ac:dyDescent="0.25">
      <c r="B22" s="5" t="s">
        <v>125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  <c r="J22" s="5"/>
    </row>
    <row r="23" spans="2:10" x14ac:dyDescent="0.25">
      <c r="B23" s="5" t="s">
        <v>125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  <c r="J23" s="5"/>
    </row>
    <row r="24" spans="2:10" x14ac:dyDescent="0.25">
      <c r="B24" s="5" t="s">
        <v>127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  <c r="J24" s="5"/>
    </row>
    <row r="25" spans="2:10" x14ac:dyDescent="0.25">
      <c r="B25" s="5" t="s">
        <v>205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  <c r="J25" s="5"/>
    </row>
    <row r="26" spans="2:10" x14ac:dyDescent="0.25">
      <c r="B26" s="5" t="s">
        <v>128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  <c r="J26" s="5"/>
    </row>
    <row r="27" spans="2:10" x14ac:dyDescent="0.25">
      <c r="B27" s="5" t="s">
        <v>179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  <c r="J27" s="5"/>
    </row>
    <row r="28" spans="2:10" x14ac:dyDescent="0.25">
      <c r="B28" s="5" t="s">
        <v>206</v>
      </c>
      <c r="C28" s="5" t="s">
        <v>15</v>
      </c>
      <c r="D28" s="5">
        <v>111111</v>
      </c>
      <c r="E28" s="5" t="s">
        <v>97</v>
      </c>
      <c r="F28" s="15">
        <v>-121553.07499999998</v>
      </c>
      <c r="G28" s="5">
        <v>2060220000</v>
      </c>
      <c r="J28" s="5"/>
    </row>
    <row r="29" spans="2:10" x14ac:dyDescent="0.25">
      <c r="B29" s="5" t="s">
        <v>130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  <c r="J29" s="5"/>
    </row>
    <row r="30" spans="2:10" x14ac:dyDescent="0.25">
      <c r="B30" s="5" t="s">
        <v>182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  <c r="J30" s="5"/>
    </row>
    <row r="31" spans="2:10" x14ac:dyDescent="0.25">
      <c r="B31" s="5" t="s">
        <v>183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  <c r="J31" s="5"/>
    </row>
    <row r="32" spans="2:10" x14ac:dyDescent="0.25">
      <c r="B32" s="5" t="s">
        <v>184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  <c r="J32" s="5"/>
    </row>
    <row r="33" spans="2:10" x14ac:dyDescent="0.25">
      <c r="B33" s="5" t="s">
        <v>134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  <c r="J33" s="5"/>
    </row>
    <row r="34" spans="2:10" x14ac:dyDescent="0.25">
      <c r="B34" s="5" t="s">
        <v>135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  <c r="J34" s="5"/>
    </row>
    <row r="35" spans="2:10" x14ac:dyDescent="0.25">
      <c r="B35" s="5" t="s">
        <v>136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  <c r="J35" s="5"/>
    </row>
    <row r="36" spans="2:10" x14ac:dyDescent="0.25">
      <c r="B36" s="5" t="s">
        <v>137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  <c r="J36" s="5"/>
    </row>
    <row r="37" spans="2:10" x14ac:dyDescent="0.25">
      <c r="B37" s="5" t="s">
        <v>135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  <c r="J37" s="5"/>
    </row>
    <row r="38" spans="2:10" x14ac:dyDescent="0.25">
      <c r="B38" s="5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  <c r="J38" s="5"/>
    </row>
    <row r="39" spans="2:10" x14ac:dyDescent="0.25">
      <c r="B39" s="5" t="s">
        <v>138</v>
      </c>
      <c r="C39" s="5" t="s">
        <v>73</v>
      </c>
      <c r="D39" s="5">
        <v>111111</v>
      </c>
      <c r="E39" s="5" t="s">
        <v>97</v>
      </c>
      <c r="F39" s="15">
        <v>-6785.94</v>
      </c>
      <c r="G39" s="5">
        <v>2069010000</v>
      </c>
      <c r="J39" s="5"/>
    </row>
    <row r="40" spans="2:10" x14ac:dyDescent="0.25">
      <c r="B40" s="5" t="s">
        <v>207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  <c r="J40" s="5"/>
    </row>
    <row r="41" spans="2:10" x14ac:dyDescent="0.25">
      <c r="B41" s="5" t="s">
        <v>139</v>
      </c>
      <c r="C41" s="5" t="s">
        <v>74</v>
      </c>
      <c r="D41" s="5">
        <v>111111</v>
      </c>
      <c r="E41" s="5" t="s">
        <v>97</v>
      </c>
      <c r="F41" s="15">
        <v>9793.84</v>
      </c>
      <c r="G41" s="5">
        <v>2069980000</v>
      </c>
      <c r="J41" s="5"/>
    </row>
    <row r="42" spans="2:10" x14ac:dyDescent="0.25">
      <c r="B42" s="5" t="s">
        <v>208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  <c r="J42" s="5"/>
    </row>
    <row r="43" spans="2:10" x14ac:dyDescent="0.25">
      <c r="B43" s="5" t="s">
        <v>140</v>
      </c>
      <c r="C43" s="5" t="s">
        <v>75</v>
      </c>
      <c r="D43" s="5">
        <v>111111</v>
      </c>
      <c r="E43" s="5" t="s">
        <v>97</v>
      </c>
      <c r="F43" s="15">
        <v>65947.7</v>
      </c>
      <c r="G43" s="5">
        <v>2070400000</v>
      </c>
      <c r="J43" s="5"/>
    </row>
    <row r="44" spans="2:10" x14ac:dyDescent="0.25">
      <c r="B44" s="5" t="s">
        <v>142</v>
      </c>
      <c r="C44" s="5" t="s">
        <v>76</v>
      </c>
      <c r="D44" s="5">
        <v>111111</v>
      </c>
      <c r="E44" s="5" t="s">
        <v>97</v>
      </c>
      <c r="F44" s="15">
        <v>5138.91</v>
      </c>
      <c r="G44" s="5">
        <v>2070500000</v>
      </c>
      <c r="J44" s="5"/>
    </row>
    <row r="45" spans="2:10" x14ac:dyDescent="0.25">
      <c r="B45" s="5" t="s">
        <v>143</v>
      </c>
      <c r="C45" s="5" t="s">
        <v>77</v>
      </c>
      <c r="D45" s="5">
        <v>111111</v>
      </c>
      <c r="E45" s="5" t="s">
        <v>97</v>
      </c>
      <c r="F45" s="15">
        <v>1055381.4750000001</v>
      </c>
      <c r="G45" s="5">
        <v>2070600000</v>
      </c>
      <c r="J45" s="5"/>
    </row>
    <row r="46" spans="2:10" x14ac:dyDescent="0.25">
      <c r="B46" s="5" t="s">
        <v>145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  <c r="J46" s="5"/>
    </row>
    <row r="47" spans="2:10" x14ac:dyDescent="0.25">
      <c r="B47" s="5" t="s">
        <v>190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  <c r="J47" s="5"/>
    </row>
    <row r="48" spans="2:10" x14ac:dyDescent="0.25">
      <c r="B48" s="5" t="s">
        <v>146</v>
      </c>
      <c r="C48" s="5" t="s">
        <v>78</v>
      </c>
      <c r="D48" s="5">
        <v>111111</v>
      </c>
      <c r="E48" s="5" t="s">
        <v>97</v>
      </c>
      <c r="F48" s="15">
        <v>1130021</v>
      </c>
      <c r="G48" s="5">
        <v>2070900000</v>
      </c>
      <c r="J48" s="5"/>
    </row>
    <row r="49" spans="2:10" x14ac:dyDescent="0.25">
      <c r="B49" s="5" t="s">
        <v>147</v>
      </c>
      <c r="C49" s="5" t="s">
        <v>7</v>
      </c>
      <c r="D49" s="5">
        <v>111111</v>
      </c>
      <c r="E49" s="5" t="s">
        <v>97</v>
      </c>
      <c r="F49" s="15">
        <v>7293.5450000000001</v>
      </c>
      <c r="G49" s="5">
        <v>2071000000</v>
      </c>
      <c r="J49" s="5"/>
    </row>
    <row r="50" spans="2:10" x14ac:dyDescent="0.25">
      <c r="B50" s="5" t="s">
        <v>209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  <c r="J50" s="5"/>
    </row>
    <row r="51" spans="2:10" x14ac:dyDescent="0.25">
      <c r="B51" s="5" t="s">
        <v>148</v>
      </c>
      <c r="C51" s="5" t="s">
        <v>79</v>
      </c>
      <c r="D51" s="5">
        <v>111111</v>
      </c>
      <c r="E51" s="5" t="s">
        <v>97</v>
      </c>
      <c r="F51" s="15">
        <v>48468.665000000001</v>
      </c>
      <c r="G51" s="5">
        <v>2071100000</v>
      </c>
      <c r="J51" s="5"/>
    </row>
    <row r="52" spans="2:10" x14ac:dyDescent="0.25">
      <c r="B52" s="5" t="s">
        <v>210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  <c r="J52" s="5"/>
    </row>
    <row r="53" spans="2:10" x14ac:dyDescent="0.25">
      <c r="B53" s="5" t="s">
        <v>149</v>
      </c>
      <c r="C53" s="5" t="s">
        <v>8</v>
      </c>
      <c r="D53" s="5">
        <v>111111</v>
      </c>
      <c r="E53" s="5" t="s">
        <v>97</v>
      </c>
      <c r="F53" s="15">
        <v>2393259.19</v>
      </c>
      <c r="G53" s="5">
        <v>2071209200</v>
      </c>
      <c r="J53" s="5"/>
    </row>
    <row r="54" spans="2:10" x14ac:dyDescent="0.25">
      <c r="B54" s="5" t="s">
        <v>150</v>
      </c>
      <c r="C54" s="5" t="s">
        <v>80</v>
      </c>
      <c r="D54" s="5">
        <v>111111</v>
      </c>
      <c r="E54" s="5" t="s">
        <v>97</v>
      </c>
      <c r="F54" s="15">
        <v>23069.654999999999</v>
      </c>
      <c r="G54" s="5">
        <v>2071209400</v>
      </c>
      <c r="J54" s="5"/>
    </row>
    <row r="55" spans="2:10" x14ac:dyDescent="0.25">
      <c r="B55" s="5" t="s">
        <v>151</v>
      </c>
      <c r="C55" s="5" t="s">
        <v>81</v>
      </c>
      <c r="D55" s="5">
        <v>111111</v>
      </c>
      <c r="E55" s="5" t="s">
        <v>97</v>
      </c>
      <c r="F55" s="15">
        <v>208366.935</v>
      </c>
      <c r="G55" s="5">
        <v>2071209500</v>
      </c>
      <c r="J55" s="5"/>
    </row>
    <row r="56" spans="2:10" x14ac:dyDescent="0.25">
      <c r="B56" s="5" t="s">
        <v>211</v>
      </c>
      <c r="C56" s="5" t="s">
        <v>20</v>
      </c>
      <c r="D56" s="5">
        <v>111111</v>
      </c>
      <c r="E56" s="5" t="s">
        <v>97</v>
      </c>
      <c r="F56" s="15">
        <v>308232</v>
      </c>
      <c r="G56" s="5">
        <v>2071220000</v>
      </c>
      <c r="J56" s="5"/>
    </row>
    <row r="57" spans="2:10" x14ac:dyDescent="0.25">
      <c r="B57" s="5" t="s">
        <v>212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  <c r="J57" s="5"/>
    </row>
    <row r="58" spans="2:10" x14ac:dyDescent="0.25">
      <c r="B58" s="5" t="s">
        <v>213</v>
      </c>
      <c r="C58" s="5" t="s">
        <v>21</v>
      </c>
      <c r="D58" s="5">
        <v>111111</v>
      </c>
      <c r="E58" s="5" t="s">
        <v>97</v>
      </c>
      <c r="F58" s="15">
        <v>4045.6150000000002</v>
      </c>
      <c r="G58" s="5">
        <v>2071511000</v>
      </c>
      <c r="J58" s="5"/>
    </row>
    <row r="59" spans="2:10" x14ac:dyDescent="0.25">
      <c r="B59" s="5" t="s">
        <v>214</v>
      </c>
      <c r="C59" s="5" t="s">
        <v>22</v>
      </c>
      <c r="D59" s="5">
        <v>111111</v>
      </c>
      <c r="E59" s="5" t="s">
        <v>97</v>
      </c>
      <c r="F59" s="15">
        <v>49621.144999999997</v>
      </c>
      <c r="G59" s="5">
        <v>2071910000</v>
      </c>
      <c r="J59" s="5"/>
    </row>
    <row r="60" spans="2:10" x14ac:dyDescent="0.25">
      <c r="B60" s="5" t="s">
        <v>152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  <c r="J60" s="5"/>
    </row>
    <row r="61" spans="2:10" x14ac:dyDescent="0.25">
      <c r="B61" s="5" t="s">
        <v>153</v>
      </c>
      <c r="C61" s="5" t="s">
        <v>83</v>
      </c>
      <c r="D61" s="5">
        <v>111111</v>
      </c>
      <c r="E61" s="5" t="s">
        <v>97</v>
      </c>
      <c r="F61" s="15">
        <v>169489</v>
      </c>
      <c r="G61" s="5">
        <v>2079022000</v>
      </c>
      <c r="J61" s="5"/>
    </row>
    <row r="62" spans="2:10" x14ac:dyDescent="0.25">
      <c r="B62" s="5" t="s">
        <v>215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  <c r="J62" s="5"/>
    </row>
    <row r="63" spans="2:10" x14ac:dyDescent="0.25">
      <c r="B63" s="5" t="s">
        <v>216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  <c r="J63" s="5"/>
    </row>
    <row r="64" spans="2:10" x14ac:dyDescent="0.25">
      <c r="B64" s="5" t="s">
        <v>193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  <c r="J64" s="5"/>
    </row>
    <row r="65" spans="2:10" x14ac:dyDescent="0.25">
      <c r="B65" s="5" t="s">
        <v>155</v>
      </c>
      <c r="C65" s="5" t="s">
        <v>84</v>
      </c>
      <c r="D65" s="5">
        <v>111111</v>
      </c>
      <c r="E65" s="5" t="s">
        <v>97</v>
      </c>
      <c r="F65" s="15">
        <v>638869.13</v>
      </c>
      <c r="G65" s="5">
        <v>2079070000</v>
      </c>
      <c r="J65" s="5"/>
    </row>
    <row r="66" spans="2:10" x14ac:dyDescent="0.25">
      <c r="B66" s="5" t="s">
        <v>194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  <c r="J66" s="5"/>
    </row>
    <row r="67" spans="2:10" x14ac:dyDescent="0.25">
      <c r="B67" s="5" t="s">
        <v>157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  <c r="J67" s="5"/>
    </row>
    <row r="68" spans="2:10" x14ac:dyDescent="0.25">
      <c r="B68" s="5" t="s">
        <v>158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  <c r="J68" s="5"/>
    </row>
    <row r="69" spans="2:10" x14ac:dyDescent="0.25">
      <c r="B69" s="5" t="s">
        <v>195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  <c r="J69" s="5"/>
    </row>
    <row r="70" spans="2:10" x14ac:dyDescent="0.25">
      <c r="B70" s="5" t="s">
        <v>159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  <c r="J70" s="5"/>
    </row>
    <row r="71" spans="2:10" x14ac:dyDescent="0.25">
      <c r="B71" s="5" t="s">
        <v>160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  <c r="J71" s="5"/>
    </row>
    <row r="72" spans="2:10" x14ac:dyDescent="0.25">
      <c r="B72" s="5" t="s">
        <v>161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  <c r="J72" s="5"/>
    </row>
    <row r="73" spans="2:10" x14ac:dyDescent="0.25">
      <c r="B73" s="5" t="s">
        <v>162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  <c r="J73" s="5"/>
    </row>
    <row r="74" spans="2:10" x14ac:dyDescent="0.25">
      <c r="B74" s="5" t="s">
        <v>196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  <c r="J74" s="5"/>
    </row>
    <row r="75" spans="2:10" x14ac:dyDescent="0.25">
      <c r="B75" s="5" t="s">
        <v>160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  <c r="J75" s="5"/>
    </row>
    <row r="76" spans="2:10" x14ac:dyDescent="0.25">
      <c r="B76" s="5" t="s">
        <v>163</v>
      </c>
      <c r="C76" s="5" t="s">
        <v>86</v>
      </c>
      <c r="D76" s="5">
        <v>111111</v>
      </c>
      <c r="E76" s="5" t="s">
        <v>97</v>
      </c>
      <c r="F76" s="15">
        <v>-2204.7199999999998</v>
      </c>
      <c r="G76" s="5">
        <v>2082280000</v>
      </c>
      <c r="J76" s="5"/>
    </row>
    <row r="77" spans="2:10" x14ac:dyDescent="0.25">
      <c r="B77" s="5" t="s">
        <v>165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  <c r="J77" s="5"/>
    </row>
    <row r="78" spans="2:10" x14ac:dyDescent="0.25">
      <c r="B78" s="5" t="s">
        <v>166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  <c r="J78" s="5"/>
    </row>
    <row r="79" spans="2:10" x14ac:dyDescent="0.25">
      <c r="B79" s="5" t="s">
        <v>197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  <c r="J79" s="5"/>
    </row>
    <row r="80" spans="2:10" x14ac:dyDescent="0.25">
      <c r="B80" s="5" t="s">
        <v>198</v>
      </c>
      <c r="C80" s="5" t="s">
        <v>88</v>
      </c>
      <c r="D80" s="5">
        <v>111111</v>
      </c>
      <c r="E80" s="5" t="s">
        <v>97</v>
      </c>
      <c r="F80" s="15">
        <v>1250.7950000000001</v>
      </c>
      <c r="G80" s="5">
        <v>2082214000</v>
      </c>
      <c r="J80" s="5"/>
    </row>
    <row r="81" spans="2:10" x14ac:dyDescent="0.25">
      <c r="B81" s="5" t="s">
        <v>217</v>
      </c>
      <c r="C81" s="5" t="s">
        <v>100</v>
      </c>
      <c r="D81" s="5">
        <v>1240</v>
      </c>
      <c r="E81" s="5" t="s">
        <v>44</v>
      </c>
      <c r="F81" s="15">
        <v>4130000</v>
      </c>
      <c r="G81" s="5">
        <v>2082110000</v>
      </c>
      <c r="J81" s="5"/>
    </row>
    <row r="82" spans="2:10" x14ac:dyDescent="0.25">
      <c r="B82" s="5" t="s">
        <v>167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  <c r="J82" s="5"/>
    </row>
    <row r="83" spans="2:10" x14ac:dyDescent="0.25">
      <c r="B83" s="5" t="s">
        <v>168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  <c r="J83" s="5"/>
    </row>
    <row r="84" spans="2:10" x14ac:dyDescent="0.25">
      <c r="B84" s="5" t="s">
        <v>218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  <c r="J84"/>
    </row>
    <row r="85" spans="2:10" x14ac:dyDescent="0.25">
      <c r="B85" s="5" t="s">
        <v>169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  <c r="J85"/>
    </row>
    <row r="86" spans="2:10" x14ac:dyDescent="0.25">
      <c r="B86" s="5" t="s">
        <v>201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  <c r="J86"/>
    </row>
    <row r="87" spans="2:10" x14ac:dyDescent="0.25">
      <c r="D87" s="5"/>
    </row>
    <row r="88" spans="2:10" x14ac:dyDescent="0.25">
      <c r="D88" s="5"/>
    </row>
    <row r="89" spans="2:10" x14ac:dyDescent="0.25">
      <c r="D89" s="5"/>
    </row>
    <row r="90" spans="2:10" x14ac:dyDescent="0.25">
      <c r="D90" s="5"/>
    </row>
    <row r="91" spans="2:10" x14ac:dyDescent="0.25">
      <c r="D91" s="5"/>
    </row>
    <row r="92" spans="2:10" x14ac:dyDescent="0.25">
      <c r="D92" s="5"/>
    </row>
    <row r="93" spans="2:10" x14ac:dyDescent="0.25">
      <c r="D93" s="5"/>
    </row>
    <row r="94" spans="2:10" x14ac:dyDescent="0.25">
      <c r="D94" s="5"/>
    </row>
    <row r="95" spans="2:10" x14ac:dyDescent="0.25">
      <c r="D95" s="5"/>
    </row>
    <row r="96" spans="2:10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  <row r="128" spans="4:4" x14ac:dyDescent="0.25">
      <c r="D128" s="5"/>
    </row>
    <row r="129" spans="4:4" x14ac:dyDescent="0.25">
      <c r="D129" s="5"/>
    </row>
  </sheetData>
  <autoFilter ref="C4:G8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17"/>
  <sheetViews>
    <sheetView workbookViewId="0"/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6.140625" style="2" bestFit="1" customWidth="1"/>
    <col min="8" max="16384" width="9.140625" style="2"/>
  </cols>
  <sheetData>
    <row r="1" spans="2:10" ht="15.75" x14ac:dyDescent="0.25">
      <c r="B1" s="3" t="s">
        <v>108</v>
      </c>
    </row>
    <row r="4" spans="2:10" x14ac:dyDescent="0.2">
      <c r="B4" s="5" t="s">
        <v>113</v>
      </c>
      <c r="C4" s="5" t="s">
        <v>109</v>
      </c>
      <c r="D4" s="5" t="s">
        <v>31</v>
      </c>
      <c r="E4" s="5" t="s">
        <v>110</v>
      </c>
      <c r="F4" s="5" t="s">
        <v>111</v>
      </c>
      <c r="G4" s="5" t="s">
        <v>112</v>
      </c>
    </row>
    <row r="5" spans="2:10" x14ac:dyDescent="0.2">
      <c r="B5" s="5" t="s">
        <v>171</v>
      </c>
      <c r="C5" s="5" t="s">
        <v>65</v>
      </c>
      <c r="D5" s="5">
        <v>105</v>
      </c>
      <c r="E5" s="5" t="s">
        <v>33</v>
      </c>
      <c r="F5" s="15">
        <v>-616462.01899999997</v>
      </c>
      <c r="G5" s="5">
        <v>2001110000</v>
      </c>
      <c r="J5" s="5"/>
    </row>
    <row r="6" spans="2:10" x14ac:dyDescent="0.2">
      <c r="B6" s="5" t="s">
        <v>114</v>
      </c>
      <c r="C6" s="5" t="s">
        <v>65</v>
      </c>
      <c r="D6" s="5">
        <v>111111</v>
      </c>
      <c r="E6" s="5" t="s">
        <v>97</v>
      </c>
      <c r="F6" s="15">
        <v>-14431341</v>
      </c>
      <c r="G6" s="5">
        <v>2001110000</v>
      </c>
      <c r="J6" s="5"/>
    </row>
    <row r="7" spans="2:10" x14ac:dyDescent="0.2">
      <c r="B7" s="5" t="s">
        <v>115</v>
      </c>
      <c r="C7" s="5" t="s">
        <v>66</v>
      </c>
      <c r="D7" s="5">
        <v>111111</v>
      </c>
      <c r="E7" s="5" t="s">
        <v>97</v>
      </c>
      <c r="F7" s="15">
        <v>-6373617.5140000004</v>
      </c>
      <c r="G7" s="5">
        <v>2001190000</v>
      </c>
      <c r="J7" s="5"/>
    </row>
    <row r="8" spans="2:10" x14ac:dyDescent="0.2">
      <c r="B8" s="5" t="s">
        <v>172</v>
      </c>
      <c r="C8" s="5" t="s">
        <v>101</v>
      </c>
      <c r="D8" s="5">
        <v>111111</v>
      </c>
      <c r="E8" s="5" t="s">
        <v>97</v>
      </c>
      <c r="F8" s="15">
        <v>20504.509999999998</v>
      </c>
      <c r="G8" s="5">
        <v>2021210000</v>
      </c>
      <c r="J8" s="5"/>
    </row>
    <row r="9" spans="2:10" x14ac:dyDescent="0.2">
      <c r="B9" s="5" t="s">
        <v>120</v>
      </c>
      <c r="C9" s="5" t="s">
        <v>98</v>
      </c>
      <c r="D9" s="5">
        <v>111111</v>
      </c>
      <c r="E9" s="5" t="s">
        <v>97</v>
      </c>
      <c r="F9" s="15">
        <v>5674152.0669999998</v>
      </c>
      <c r="G9" s="5">
        <v>2021900000</v>
      </c>
      <c r="J9" s="5"/>
    </row>
    <row r="10" spans="2:10" x14ac:dyDescent="0.2">
      <c r="B10" s="5" t="s">
        <v>173</v>
      </c>
      <c r="C10" s="5" t="s">
        <v>24</v>
      </c>
      <c r="D10" s="5">
        <v>111111</v>
      </c>
      <c r="E10" s="5" t="s">
        <v>97</v>
      </c>
      <c r="F10" s="15">
        <v>13691.949999999999</v>
      </c>
      <c r="G10" s="5">
        <v>2024020000</v>
      </c>
      <c r="J10" s="5"/>
    </row>
    <row r="11" spans="2:10" x14ac:dyDescent="0.2">
      <c r="B11" s="5" t="s">
        <v>121</v>
      </c>
      <c r="C11" s="5" t="s">
        <v>69</v>
      </c>
      <c r="D11" s="5">
        <v>111111</v>
      </c>
      <c r="E11" s="5" t="s">
        <v>97</v>
      </c>
      <c r="F11" s="15">
        <v>350370.99399999995</v>
      </c>
      <c r="G11" s="5">
        <v>2024080000</v>
      </c>
      <c r="J11" s="5"/>
    </row>
    <row r="12" spans="2:10" x14ac:dyDescent="0.2">
      <c r="B12" s="5" t="s">
        <v>122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  <c r="J12" s="5"/>
    </row>
    <row r="13" spans="2:10" x14ac:dyDescent="0.2">
      <c r="B13" s="5" t="s">
        <v>174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  <c r="J13" s="5"/>
    </row>
    <row r="14" spans="2:10" x14ac:dyDescent="0.2">
      <c r="B14" s="5" t="s">
        <v>175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  <c r="J14" s="5"/>
    </row>
    <row r="15" spans="2:10" x14ac:dyDescent="0.2">
      <c r="B15" s="5" t="s">
        <v>176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  <c r="J15" s="5"/>
    </row>
    <row r="16" spans="2:10" x14ac:dyDescent="0.2">
      <c r="B16" s="5" t="s">
        <v>177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  <c r="J16" s="5"/>
    </row>
    <row r="17" spans="2:10" x14ac:dyDescent="0.2">
      <c r="B17" s="5" t="s">
        <v>178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  <c r="J17" s="5"/>
    </row>
    <row r="18" spans="2:10" x14ac:dyDescent="0.2">
      <c r="B18" s="5" t="s">
        <v>123</v>
      </c>
      <c r="C18" s="5" t="s">
        <v>68</v>
      </c>
      <c r="D18" s="5">
        <v>111111</v>
      </c>
      <c r="E18" s="5" t="s">
        <v>97</v>
      </c>
      <c r="F18" s="15">
        <v>9783.7069999999985</v>
      </c>
      <c r="G18" s="5">
        <v>2024090000</v>
      </c>
      <c r="J18" s="5"/>
    </row>
    <row r="19" spans="2:10" x14ac:dyDescent="0.2">
      <c r="B19" s="5" t="s">
        <v>124</v>
      </c>
      <c r="C19" s="5" t="s">
        <v>1</v>
      </c>
      <c r="D19" s="5">
        <v>111111</v>
      </c>
      <c r="E19" s="5" t="s">
        <v>97</v>
      </c>
      <c r="F19" s="15">
        <v>3982699.5329999998</v>
      </c>
      <c r="G19" s="5">
        <v>2041000000</v>
      </c>
      <c r="J19" s="5"/>
    </row>
    <row r="20" spans="2:10" x14ac:dyDescent="0.2">
      <c r="B20" s="5" t="s">
        <v>125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  <c r="J20" s="5"/>
    </row>
    <row r="21" spans="2:10" x14ac:dyDescent="0.2">
      <c r="B21" s="5" t="s">
        <v>125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  <c r="J21" s="5"/>
    </row>
    <row r="22" spans="2:10" x14ac:dyDescent="0.2">
      <c r="B22" s="5" t="s">
        <v>127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  <c r="J22" s="5"/>
    </row>
    <row r="23" spans="2:10" x14ac:dyDescent="0.2">
      <c r="B23" s="5" t="s">
        <v>128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  <c r="J23" s="5"/>
    </row>
    <row r="24" spans="2:10" x14ac:dyDescent="0.2">
      <c r="B24" s="5" t="s">
        <v>179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  <c r="J24" s="5"/>
    </row>
    <row r="25" spans="2:10" x14ac:dyDescent="0.2">
      <c r="B25" s="5" t="s">
        <v>180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  <c r="J25" s="5"/>
    </row>
    <row r="26" spans="2:10" x14ac:dyDescent="0.2">
      <c r="B26" s="5" t="s">
        <v>181</v>
      </c>
      <c r="C26" s="5" t="s">
        <v>21</v>
      </c>
      <c r="D26" s="5">
        <v>111111</v>
      </c>
      <c r="E26" s="5" t="s">
        <v>97</v>
      </c>
      <c r="F26" s="15">
        <v>-1252.8369999999998</v>
      </c>
      <c r="G26" s="5">
        <v>2060441000</v>
      </c>
      <c r="J26" s="5"/>
    </row>
    <row r="27" spans="2:10" x14ac:dyDescent="0.2">
      <c r="B27" s="5" t="s">
        <v>130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  <c r="J27" s="5"/>
    </row>
    <row r="28" spans="2:10" x14ac:dyDescent="0.2">
      <c r="B28" s="5" t="s">
        <v>182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  <c r="J28" s="5"/>
    </row>
    <row r="29" spans="2:10" x14ac:dyDescent="0.2">
      <c r="B29" s="5" t="s">
        <v>183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  <c r="J29" s="5"/>
    </row>
    <row r="30" spans="2:10" x14ac:dyDescent="0.2">
      <c r="B30" s="5" t="s">
        <v>184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  <c r="J30" s="5"/>
    </row>
    <row r="31" spans="2:10" x14ac:dyDescent="0.2">
      <c r="B31" s="5" t="s">
        <v>134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  <c r="J31" s="5"/>
    </row>
    <row r="32" spans="2:10" x14ac:dyDescent="0.2">
      <c r="B32" s="5" t="s">
        <v>135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  <c r="J32" s="5"/>
    </row>
    <row r="33" spans="2:10" x14ac:dyDescent="0.2">
      <c r="B33" s="5" t="s">
        <v>136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  <c r="J33" s="5"/>
    </row>
    <row r="34" spans="2:10" x14ac:dyDescent="0.2">
      <c r="B34" s="5" t="s">
        <v>137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  <c r="J34" s="5"/>
    </row>
    <row r="35" spans="2:10" x14ac:dyDescent="0.2">
      <c r="B35" s="5" t="s">
        <v>185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  <c r="J35" s="5"/>
    </row>
    <row r="36" spans="2:10" x14ac:dyDescent="0.2">
      <c r="B36" s="5" t="s">
        <v>135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  <c r="J36" s="5"/>
    </row>
    <row r="37" spans="2:10" x14ac:dyDescent="0.2">
      <c r="B37" s="5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  <c r="J37" s="5"/>
    </row>
    <row r="38" spans="2:10" x14ac:dyDescent="0.2">
      <c r="B38" s="5" t="s">
        <v>138</v>
      </c>
      <c r="C38" s="5" t="s">
        <v>73</v>
      </c>
      <c r="D38" s="5">
        <v>111111</v>
      </c>
      <c r="E38" s="5" t="s">
        <v>97</v>
      </c>
      <c r="F38" s="15">
        <v>-902857.84299999999</v>
      </c>
      <c r="G38" s="5">
        <v>2069010000</v>
      </c>
      <c r="J38" s="5"/>
    </row>
    <row r="39" spans="2:10" x14ac:dyDescent="0.2">
      <c r="B39" s="5" t="s">
        <v>187</v>
      </c>
      <c r="C39" s="5" t="s">
        <v>26</v>
      </c>
      <c r="D39" s="5">
        <v>111111</v>
      </c>
      <c r="E39" s="5" t="s">
        <v>97</v>
      </c>
      <c r="F39" s="15">
        <v>-61499.999999999993</v>
      </c>
      <c r="G39" s="5">
        <v>2069020000</v>
      </c>
      <c r="J39" s="5"/>
    </row>
    <row r="40" spans="2:10" x14ac:dyDescent="0.2">
      <c r="B40" s="5" t="s">
        <v>188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  <c r="J40" s="5"/>
    </row>
    <row r="41" spans="2:10" x14ac:dyDescent="0.2">
      <c r="B41" s="5" t="s">
        <v>139</v>
      </c>
      <c r="C41" s="5" t="s">
        <v>74</v>
      </c>
      <c r="D41" s="5">
        <v>111111</v>
      </c>
      <c r="E41" s="5" t="s">
        <v>97</v>
      </c>
      <c r="F41" s="15">
        <v>-15872.001999999999</v>
      </c>
      <c r="G41" s="5">
        <v>2069980000</v>
      </c>
      <c r="J41" s="5"/>
    </row>
    <row r="42" spans="2:10" x14ac:dyDescent="0.2">
      <c r="B42" s="5" t="s">
        <v>140</v>
      </c>
      <c r="C42" s="5" t="s">
        <v>75</v>
      </c>
      <c r="D42" s="5">
        <v>111111</v>
      </c>
      <c r="E42" s="5" t="s">
        <v>97</v>
      </c>
      <c r="F42" s="15">
        <v>57.317999999999998</v>
      </c>
      <c r="G42" s="5">
        <v>2070400000</v>
      </c>
      <c r="J42" s="5"/>
    </row>
    <row r="43" spans="2:10" x14ac:dyDescent="0.2">
      <c r="B43" s="5" t="s">
        <v>142</v>
      </c>
      <c r="C43" s="5" t="s">
        <v>76</v>
      </c>
      <c r="D43" s="5">
        <v>111111</v>
      </c>
      <c r="E43" s="5" t="s">
        <v>97</v>
      </c>
      <c r="F43" s="15">
        <v>19198.66</v>
      </c>
      <c r="G43" s="5">
        <v>2070500000</v>
      </c>
      <c r="J43" s="5"/>
    </row>
    <row r="44" spans="2:10" x14ac:dyDescent="0.2">
      <c r="B44" s="5" t="s">
        <v>189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  <c r="J44" s="5"/>
    </row>
    <row r="45" spans="2:10" x14ac:dyDescent="0.2">
      <c r="B45" s="5" t="s">
        <v>143</v>
      </c>
      <c r="C45" s="5" t="s">
        <v>77</v>
      </c>
      <c r="D45" s="5">
        <v>111111</v>
      </c>
      <c r="E45" s="5" t="s">
        <v>97</v>
      </c>
      <c r="F45" s="15">
        <v>-172933.44899999999</v>
      </c>
      <c r="G45" s="5">
        <v>2070600000</v>
      </c>
      <c r="J45" s="5"/>
    </row>
    <row r="46" spans="2:10" x14ac:dyDescent="0.2">
      <c r="B46" s="5" t="s">
        <v>190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  <c r="J46" s="5"/>
    </row>
    <row r="47" spans="2:10" x14ac:dyDescent="0.2">
      <c r="B47" s="5" t="s">
        <v>146</v>
      </c>
      <c r="C47" s="5" t="s">
        <v>78</v>
      </c>
      <c r="D47" s="5">
        <v>111111</v>
      </c>
      <c r="E47" s="5" t="s">
        <v>97</v>
      </c>
      <c r="F47" s="15">
        <v>1481408.47</v>
      </c>
      <c r="G47" s="5">
        <v>2070900000</v>
      </c>
      <c r="J47" s="5"/>
    </row>
    <row r="48" spans="2:10" x14ac:dyDescent="0.2">
      <c r="B48" s="5" t="s">
        <v>147</v>
      </c>
      <c r="C48" s="5" t="s">
        <v>7</v>
      </c>
      <c r="D48" s="5">
        <v>111111</v>
      </c>
      <c r="E48" s="5" t="s">
        <v>97</v>
      </c>
      <c r="F48" s="15">
        <v>40048.799999999996</v>
      </c>
      <c r="G48" s="5">
        <v>2071000000</v>
      </c>
      <c r="J48" s="5"/>
    </row>
    <row r="49" spans="2:10" x14ac:dyDescent="0.2">
      <c r="B49" s="5" t="s">
        <v>191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  <c r="J49" s="5"/>
    </row>
    <row r="50" spans="2:10" x14ac:dyDescent="0.2">
      <c r="B50" s="5" t="s">
        <v>148</v>
      </c>
      <c r="C50" s="5" t="s">
        <v>79</v>
      </c>
      <c r="D50" s="5">
        <v>111111</v>
      </c>
      <c r="E50" s="5" t="s">
        <v>97</v>
      </c>
      <c r="F50" s="15">
        <v>64039.82699999999</v>
      </c>
      <c r="G50" s="5">
        <v>2071100000</v>
      </c>
      <c r="J50" s="5"/>
    </row>
    <row r="51" spans="2:10" x14ac:dyDescent="0.2">
      <c r="B51" s="5" t="s">
        <v>192</v>
      </c>
      <c r="C51" s="5" t="s">
        <v>27</v>
      </c>
      <c r="D51" s="5">
        <v>111111</v>
      </c>
      <c r="E51" s="5" t="s">
        <v>97</v>
      </c>
      <c r="F51" s="15">
        <v>1352.9999999999998</v>
      </c>
      <c r="G51" s="5">
        <v>2071209100</v>
      </c>
      <c r="J51" s="5"/>
    </row>
    <row r="52" spans="2:10" x14ac:dyDescent="0.2">
      <c r="B52" s="5" t="s">
        <v>149</v>
      </c>
      <c r="C52" s="5" t="s">
        <v>8</v>
      </c>
      <c r="D52" s="5">
        <v>111111</v>
      </c>
      <c r="E52" s="5" t="s">
        <v>97</v>
      </c>
      <c r="F52" s="15">
        <v>2514431.8869999996</v>
      </c>
      <c r="G52" s="5">
        <v>2071209200</v>
      </c>
      <c r="J52" s="5"/>
    </row>
    <row r="53" spans="2:10" x14ac:dyDescent="0.2">
      <c r="B53" s="5" t="s">
        <v>150</v>
      </c>
      <c r="C53" s="5" t="s">
        <v>80</v>
      </c>
      <c r="D53" s="5">
        <v>111111</v>
      </c>
      <c r="E53" s="5" t="s">
        <v>97</v>
      </c>
      <c r="F53" s="15">
        <v>4194.2999999999993</v>
      </c>
      <c r="G53" s="5">
        <v>2071209400</v>
      </c>
      <c r="J53" s="5"/>
    </row>
    <row r="54" spans="2:10" x14ac:dyDescent="0.2">
      <c r="B54" s="5" t="s">
        <v>151</v>
      </c>
      <c r="C54" s="5" t="s">
        <v>81</v>
      </c>
      <c r="D54" s="5">
        <v>111111</v>
      </c>
      <c r="E54" s="5" t="s">
        <v>97</v>
      </c>
      <c r="F54" s="15">
        <v>106525.708</v>
      </c>
      <c r="G54" s="5">
        <v>2071209500</v>
      </c>
      <c r="J54" s="5"/>
    </row>
    <row r="55" spans="2:10" x14ac:dyDescent="0.2">
      <c r="B55" s="5" t="s">
        <v>152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  <c r="J55" s="5"/>
    </row>
    <row r="56" spans="2:10" x14ac:dyDescent="0.2">
      <c r="B56" s="5" t="s">
        <v>153</v>
      </c>
      <c r="C56" s="5" t="s">
        <v>83</v>
      </c>
      <c r="D56" s="5">
        <v>111111</v>
      </c>
      <c r="E56" s="5" t="s">
        <v>97</v>
      </c>
      <c r="F56" s="15">
        <v>61111.483999999997</v>
      </c>
      <c r="G56" s="5">
        <v>2079022000</v>
      </c>
      <c r="J56" s="5"/>
    </row>
    <row r="57" spans="2:10" x14ac:dyDescent="0.2">
      <c r="B57" s="5" t="s">
        <v>193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  <c r="J57" s="5"/>
    </row>
    <row r="58" spans="2:10" x14ac:dyDescent="0.2">
      <c r="B58" s="5" t="s">
        <v>154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  <c r="J58" s="5"/>
    </row>
    <row r="59" spans="2:10" x14ac:dyDescent="0.2">
      <c r="B59" s="5" t="s">
        <v>155</v>
      </c>
      <c r="C59" s="5" t="s">
        <v>84</v>
      </c>
      <c r="D59" s="5">
        <v>111111</v>
      </c>
      <c r="E59" s="5" t="s">
        <v>97</v>
      </c>
      <c r="F59" s="15">
        <v>575626.2649999999</v>
      </c>
      <c r="G59" s="5">
        <v>2079070000</v>
      </c>
      <c r="J59" s="5"/>
    </row>
    <row r="60" spans="2:10" x14ac:dyDescent="0.2">
      <c r="B60" s="5" t="s">
        <v>194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  <c r="J60" s="5"/>
    </row>
    <row r="61" spans="2:10" x14ac:dyDescent="0.2">
      <c r="B61" s="5" t="s">
        <v>157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  <c r="J61" s="5"/>
    </row>
    <row r="62" spans="2:10" x14ac:dyDescent="0.2">
      <c r="B62" s="5" t="s">
        <v>195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  <c r="J62" s="5"/>
    </row>
    <row r="63" spans="2:10" x14ac:dyDescent="0.2">
      <c r="B63" s="5" t="s">
        <v>159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  <c r="J63" s="5"/>
    </row>
    <row r="64" spans="2:10" x14ac:dyDescent="0.2">
      <c r="B64" s="5" t="s">
        <v>160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  <c r="J64" s="5"/>
    </row>
    <row r="65" spans="2:10" x14ac:dyDescent="0.2">
      <c r="B65" s="5" t="s">
        <v>161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  <c r="J65" s="5"/>
    </row>
    <row r="66" spans="2:10" x14ac:dyDescent="0.2">
      <c r="B66" s="5" t="s">
        <v>162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  <c r="J66" s="5"/>
    </row>
    <row r="67" spans="2:10" x14ac:dyDescent="0.2">
      <c r="B67" s="5" t="s">
        <v>196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  <c r="J67" s="5"/>
    </row>
    <row r="68" spans="2:10" x14ac:dyDescent="0.2">
      <c r="B68" s="5" t="s">
        <v>163</v>
      </c>
      <c r="C68" s="5" t="s">
        <v>86</v>
      </c>
      <c r="D68" s="5">
        <v>111111</v>
      </c>
      <c r="E68" s="5" t="s">
        <v>97</v>
      </c>
      <c r="F68" s="15">
        <v>-73809.511999999988</v>
      </c>
      <c r="G68" s="5">
        <v>2082280000</v>
      </c>
      <c r="J68" s="5"/>
    </row>
    <row r="69" spans="2:10" x14ac:dyDescent="0.2">
      <c r="B69" s="5" t="s">
        <v>165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  <c r="J69" s="5"/>
    </row>
    <row r="70" spans="2:10" x14ac:dyDescent="0.2">
      <c r="B70" s="5" t="s">
        <v>166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  <c r="J70" s="5"/>
    </row>
    <row r="71" spans="2:10" x14ac:dyDescent="0.2">
      <c r="B71" s="5" t="s">
        <v>197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  <c r="J71" s="5"/>
    </row>
    <row r="72" spans="2:10" x14ac:dyDescent="0.2">
      <c r="B72" s="5" t="s">
        <v>198</v>
      </c>
      <c r="C72" s="5" t="s">
        <v>88</v>
      </c>
      <c r="D72" s="5">
        <v>111111</v>
      </c>
      <c r="E72" s="5" t="s">
        <v>97</v>
      </c>
      <c r="F72" s="15">
        <v>51.454999999999998</v>
      </c>
      <c r="G72" s="5">
        <v>2082214000</v>
      </c>
      <c r="J72" s="5"/>
    </row>
    <row r="73" spans="2:10" x14ac:dyDescent="0.2">
      <c r="B73" s="5" t="s">
        <v>199</v>
      </c>
      <c r="C73" s="5" t="s">
        <v>100</v>
      </c>
      <c r="D73" s="5">
        <v>111101</v>
      </c>
      <c r="E73" s="5" t="s">
        <v>0</v>
      </c>
      <c r="F73" s="15">
        <v>0</v>
      </c>
      <c r="G73" s="5">
        <v>2082110000</v>
      </c>
      <c r="J73" s="5"/>
    </row>
    <row r="74" spans="2:10" x14ac:dyDescent="0.2">
      <c r="B74" s="5" t="s">
        <v>167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  <c r="J74" s="5"/>
    </row>
    <row r="75" spans="2:10" x14ac:dyDescent="0.2">
      <c r="B75" s="5" t="s">
        <v>168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  <c r="J75" s="5"/>
    </row>
    <row r="76" spans="2:10" x14ac:dyDescent="0.2">
      <c r="B76" s="5" t="s">
        <v>169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  <c r="J76" s="5"/>
    </row>
    <row r="77" spans="2:10" x14ac:dyDescent="0.2">
      <c r="B77" s="5" t="s">
        <v>200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  <c r="J77" s="5"/>
    </row>
    <row r="78" spans="2:10" x14ac:dyDescent="0.2">
      <c r="B78" s="5" t="s">
        <v>201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  <c r="J78" s="5"/>
    </row>
    <row r="79" spans="2:10" x14ac:dyDescent="0.2">
      <c r="D79" s="5"/>
    </row>
    <row r="80" spans="2:10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</sheetData>
  <autoFilter ref="C4:G78"/>
  <conditionalFormatting sqref="J5:J78">
    <cfRule type="duplicateValues" dxfId="1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16"/>
  <sheetViews>
    <sheetView workbookViewId="0">
      <selection activeCell="L8" sqref="L8"/>
    </sheetView>
  </sheetViews>
  <sheetFormatPr defaultColWidth="9.140625" defaultRowHeight="12" x14ac:dyDescent="0.2"/>
  <cols>
    <col min="1" max="1" width="2" style="5" customWidth="1"/>
    <col min="2" max="2" width="26.140625" style="5" bestFit="1" customWidth="1"/>
    <col min="3" max="3" width="20.7109375" style="5" bestFit="1" customWidth="1"/>
    <col min="4" max="4" width="15.140625" style="5" bestFit="1" customWidth="1"/>
    <col min="5" max="5" width="26" style="5" bestFit="1" customWidth="1"/>
    <col min="6" max="8" width="12.5703125" style="5" bestFit="1" customWidth="1"/>
    <col min="9" max="9" width="9.140625" style="2"/>
    <col min="10" max="11" width="9.140625" style="5"/>
    <col min="12" max="12" width="11.85546875" style="5" bestFit="1" customWidth="1"/>
    <col min="13" max="16384" width="9.140625" style="5"/>
  </cols>
  <sheetData>
    <row r="1" spans="2:12" ht="15.75" x14ac:dyDescent="0.25">
      <c r="B1" s="19" t="s">
        <v>56</v>
      </c>
    </row>
    <row r="2" spans="2:12" ht="15.75" x14ac:dyDescent="0.25">
      <c r="B2" s="19"/>
    </row>
    <row r="3" spans="2:12" ht="12.75" thickBot="1" x14ac:dyDescent="0.25">
      <c r="B3" s="20" t="s">
        <v>113</v>
      </c>
      <c r="C3" s="21" t="str">
        <f>VLOOKUP($B3,'1.1 FY2016'!B4:E60,2,FALSE)</f>
        <v>P&amp;L account</v>
      </c>
      <c r="D3" s="20" t="s">
        <v>31</v>
      </c>
      <c r="E3" s="20" t="s">
        <v>110</v>
      </c>
      <c r="F3" s="20" t="s">
        <v>219</v>
      </c>
      <c r="G3" s="20" t="s">
        <v>220</v>
      </c>
      <c r="H3" s="20" t="s">
        <v>221</v>
      </c>
      <c r="I3" s="24" t="s">
        <v>223</v>
      </c>
      <c r="L3" s="32" t="s">
        <v>244</v>
      </c>
    </row>
    <row r="4" spans="2:12" x14ac:dyDescent="0.2">
      <c r="B4" s="5" t="s">
        <v>114</v>
      </c>
      <c r="C4" s="5" t="str">
        <f>VLOOKUP($B4,'1.1 FY2016'!$B$5:$E$61,2,FALSE)</f>
        <v>Core business revenues</v>
      </c>
      <c r="D4" s="5">
        <f>VLOOKUP($B4,'1.1 FY2016'!$B$5:$E$61,3,FALSE)</f>
        <v>111111</v>
      </c>
      <c r="E4" s="5" t="str">
        <f>VLOOKUP($B4,'1.1 FY2016'!$B$5:$E$61,4,FALSE)</f>
        <v>External</v>
      </c>
      <c r="F4" s="5">
        <f>-SUMIF('1.1 FY2016'!$B:$B, '2.1 Database'!B4,'1.1 FY2016'!$F:$F)</f>
        <v>14500341</v>
      </c>
      <c r="G4" s="5">
        <f>-SUMIF('1.2 FY2017'!$B:$B, '2.1 Database'!B4, '1.2 FY2017'!$F:$F)</f>
        <v>15792898.75</v>
      </c>
      <c r="H4" s="5">
        <f>-SUMIF('1.3 FY2018'!$B:$B, '2.1 Database'!B4, '1.3 FY2018'!$F:$F)</f>
        <v>14431341</v>
      </c>
      <c r="I4" s="2" t="s">
        <v>224</v>
      </c>
      <c r="L4" s="5">
        <f>COUNTIF('2.2 P&amp;L statement'!$B$4:$B$24,'2.1 Database'!I4)</f>
        <v>1</v>
      </c>
    </row>
    <row r="5" spans="2:12" x14ac:dyDescent="0.2">
      <c r="B5" s="5" t="s">
        <v>115</v>
      </c>
      <c r="C5" s="5" t="str">
        <f>VLOOKUP($B5,'1.1 FY2016'!$B$5:$E$61,2,FALSE)</f>
        <v>Other revenues</v>
      </c>
      <c r="D5" s="5">
        <f>VLOOKUP($B5,'1.1 FY2016'!$B$5:$E$61,3,FALSE)</f>
        <v>111111</v>
      </c>
      <c r="E5" s="5" t="str">
        <f>VLOOKUP($B5,'1.1 FY2016'!$B$5:$E$61,4,FALSE)</f>
        <v>External</v>
      </c>
      <c r="F5" s="5">
        <f>-SUMIF('1.1 FY2016'!$B:$B, '2.1 Database'!B5,'1.1 FY2016'!$F:$F)</f>
        <v>4794856.1919999998</v>
      </c>
      <c r="G5" s="5">
        <f>-SUMIF('1.2 FY2017'!$B:$B, '2.1 Database'!B5, '1.2 FY2017'!$F:$F)</f>
        <v>6960217.6449999996</v>
      </c>
      <c r="H5" s="5">
        <f>-SUMIF('1.3 FY2018'!$B:$B, '2.1 Database'!B5, '1.3 FY2018'!$F:$F)</f>
        <v>6373617.5140000004</v>
      </c>
      <c r="I5" s="2" t="s">
        <v>66</v>
      </c>
      <c r="L5" s="5">
        <f>COUNTIF('2.2 P&amp;L statement'!$B$4:$B$24,'2.1 Database'!I5)</f>
        <v>1</v>
      </c>
    </row>
    <row r="6" spans="2:12" x14ac:dyDescent="0.2">
      <c r="B6" s="5" t="s">
        <v>116</v>
      </c>
      <c r="C6" s="5" t="str">
        <f>VLOOKUP($B6,'1.1 FY2016'!$B$5:$E$61,2,FALSE)</f>
        <v>Capitalized costs</v>
      </c>
      <c r="D6" s="5">
        <f>VLOOKUP($B6,'1.1 FY2016'!$B$5:$E$61,3,FALSE)</f>
        <v>1009</v>
      </c>
      <c r="E6" s="5" t="str">
        <f>VLOOKUP($B6,'1.1 FY2016'!$B$5:$E$61,4,FALSE)</f>
        <v>Green Ventures Ltd</v>
      </c>
      <c r="F6" s="5">
        <f>-SUMIF('1.1 FY2016'!$B:$B, '2.1 Database'!B6,'1.1 FY2016'!$F:$F)</f>
        <v>154890.4</v>
      </c>
      <c r="G6" s="5">
        <f>-SUMIF('1.2 FY2017'!$B:$B, '2.1 Database'!B6, '1.2 FY2017'!$F:$F)</f>
        <v>0</v>
      </c>
      <c r="H6" s="5">
        <f>-SUMIF('1.3 FY2018'!$B:$B, '2.1 Database'!B6, '1.3 FY2018'!$F:$F)</f>
        <v>0</v>
      </c>
      <c r="I6" s="2" t="s">
        <v>67</v>
      </c>
      <c r="L6" s="5">
        <f>COUNTIF('2.2 P&amp;L statement'!$B$4:$B$24,'2.1 Database'!I6)</f>
        <v>1</v>
      </c>
    </row>
    <row r="7" spans="2:12" x14ac:dyDescent="0.2">
      <c r="B7" s="5" t="s">
        <v>117</v>
      </c>
      <c r="C7" s="5" t="str">
        <f>VLOOKUP($B7,'1.1 FY2016'!$B$5:$E$61,2,FALSE)</f>
        <v>Capitalized costs</v>
      </c>
      <c r="D7" s="5">
        <f>VLOOKUP($B7,'1.1 FY2016'!$B$5:$E$61,3,FALSE)</f>
        <v>1007</v>
      </c>
      <c r="E7" s="5" t="str">
        <f>VLOOKUP($B7,'1.1 FY2016'!$B$5:$E$61,4,FALSE)</f>
        <v>Generco Sunshine JSC</v>
      </c>
      <c r="F7" s="5">
        <f>-SUMIF('1.1 FY2016'!$B:$B, '2.1 Database'!B7,'1.1 FY2016'!$F:$F)</f>
        <v>1180894.0520000001</v>
      </c>
      <c r="G7" s="5">
        <f>-SUMIF('1.2 FY2017'!$B:$B, '2.1 Database'!B7, '1.2 FY2017'!$F:$F)</f>
        <v>89234.880000000005</v>
      </c>
      <c r="H7" s="5">
        <f>-SUMIF('1.3 FY2018'!$B:$B, '2.1 Database'!B7, '1.3 FY2018'!$F:$F)</f>
        <v>0</v>
      </c>
      <c r="I7" s="2" t="s">
        <v>67</v>
      </c>
      <c r="L7" s="5">
        <f>COUNTIF('2.2 P&amp;L statement'!$B$4:$B$24,'2.1 Database'!I7)</f>
        <v>1</v>
      </c>
    </row>
    <row r="8" spans="2:12" x14ac:dyDescent="0.2">
      <c r="B8" s="5" t="s">
        <v>118</v>
      </c>
      <c r="C8" s="5" t="str">
        <f>VLOOKUP($B8,'1.1 FY2016'!$B$5:$E$61,2,FALSE)</f>
        <v>Capitalized costs</v>
      </c>
      <c r="D8" s="5">
        <f>VLOOKUP($B8,'1.1 FY2016'!$B$5:$E$61,3,FALSE)</f>
        <v>1008</v>
      </c>
      <c r="E8" s="5" t="str">
        <f>VLOOKUP($B8,'1.1 FY2016'!$B$5:$E$61,4,FALSE)</f>
        <v>Greenco Ltd</v>
      </c>
      <c r="F8" s="5">
        <f>-SUMIF('1.1 FY2016'!$B:$B, '2.1 Database'!B8,'1.1 FY2016'!$F:$F)</f>
        <v>793079.51199999999</v>
      </c>
      <c r="G8" s="5">
        <f>-SUMIF('1.2 FY2017'!$B:$B, '2.1 Database'!B8, '1.2 FY2017'!$F:$F)</f>
        <v>26173</v>
      </c>
      <c r="H8" s="5">
        <f>-SUMIF('1.3 FY2018'!$B:$B, '2.1 Database'!B8, '1.3 FY2018'!$F:$F)</f>
        <v>0</v>
      </c>
      <c r="I8" s="2" t="s">
        <v>67</v>
      </c>
      <c r="L8" s="5">
        <f>COUNTIF('2.2 P&amp;L statement'!$B$4:$B$24,'2.1 Database'!I8)</f>
        <v>1</v>
      </c>
    </row>
    <row r="9" spans="2:12" x14ac:dyDescent="0.2">
      <c r="B9" s="5" t="s">
        <v>119</v>
      </c>
      <c r="C9" s="5" t="str">
        <f>VLOOKUP($B9,'1.1 FY2016'!$B$5:$E$61,2,FALSE)</f>
        <v>Capitalized costs</v>
      </c>
      <c r="D9" s="5">
        <f>VLOOKUP($B9,'1.1 FY2016'!$B$5:$E$61,3,FALSE)</f>
        <v>111101</v>
      </c>
      <c r="E9" s="5" t="str">
        <f>VLOOKUP($B9,'1.1 FY2016'!$B$5:$E$61,4,FALSE)</f>
        <v>Not assigned</v>
      </c>
      <c r="F9" s="5">
        <f>-SUMIF('1.1 FY2016'!$B:$B, '2.1 Database'!B9,'1.1 FY2016'!$F:$F)</f>
        <v>2277197.6</v>
      </c>
      <c r="G9" s="5">
        <f>-SUMIF('1.2 FY2017'!$B:$B, '2.1 Database'!B9, '1.2 FY2017'!$F:$F)</f>
        <v>209401.92</v>
      </c>
      <c r="H9" s="5">
        <f>-SUMIF('1.3 FY2018'!$B:$B, '2.1 Database'!B9, '1.3 FY2018'!$F:$F)</f>
        <v>0</v>
      </c>
      <c r="I9" s="2" t="s">
        <v>67</v>
      </c>
      <c r="L9" s="5">
        <f>COUNTIF('2.2 P&amp;L statement'!$B$4:$B$24,'2.1 Database'!I9)</f>
        <v>1</v>
      </c>
    </row>
    <row r="10" spans="2:12" x14ac:dyDescent="0.2">
      <c r="B10" s="5" t="s">
        <v>120</v>
      </c>
      <c r="C10" s="5" t="str">
        <f>VLOOKUP($B10,'1.1 FY2016'!$B$5:$E$61,2,FALSE)</f>
        <v>Direct costs</v>
      </c>
      <c r="D10" s="5">
        <f>VLOOKUP($B10,'1.1 FY2016'!$B$5:$E$61,3,FALSE)</f>
        <v>111111</v>
      </c>
      <c r="E10" s="5" t="str">
        <f>VLOOKUP($B10,'1.1 FY2016'!$B$5:$E$61,4,FALSE)</f>
        <v>External</v>
      </c>
      <c r="F10" s="5">
        <f>-SUMIF('1.1 FY2016'!$B:$B, '2.1 Database'!B10,'1.1 FY2016'!$F:$F)</f>
        <v>-4428911.7640000004</v>
      </c>
      <c r="G10" s="5">
        <f>-SUMIF('1.2 FY2017'!$B:$B, '2.1 Database'!B10, '1.2 FY2017'!$F:$F)</f>
        <v>-5463188.8250000002</v>
      </c>
      <c r="H10" s="5">
        <f>-SUMIF('1.3 FY2018'!$B:$B, '2.1 Database'!B10, '1.3 FY2018'!$F:$F)</f>
        <v>-5674152.0669999998</v>
      </c>
      <c r="I10" s="2" t="s">
        <v>98</v>
      </c>
      <c r="L10" s="5">
        <f>COUNTIF('2.2 P&amp;L statement'!$B$4:$B$24,'2.1 Database'!I10)</f>
        <v>1</v>
      </c>
    </row>
    <row r="11" spans="2:12" x14ac:dyDescent="0.2">
      <c r="B11" s="5" t="s">
        <v>121</v>
      </c>
      <c r="C11" s="5" t="str">
        <f>VLOOKUP($B11,'1.1 FY2016'!$B$5:$E$61,2,FALSE)</f>
        <v>Freight outbound expenses</v>
      </c>
      <c r="D11" s="5">
        <f>VLOOKUP($B11,'1.1 FY2016'!$B$5:$E$61,3,FALSE)</f>
        <v>111111</v>
      </c>
      <c r="E11" s="5" t="str">
        <f>VLOOKUP($B11,'1.1 FY2016'!$B$5:$E$61,4,FALSE)</f>
        <v>External</v>
      </c>
      <c r="F11" s="5">
        <f>-SUMIF('1.1 FY2016'!$B:$B, '2.1 Database'!B11,'1.1 FY2016'!$F:$F)</f>
        <v>-16977.628000000001</v>
      </c>
      <c r="G11" s="5">
        <f>-SUMIF('1.2 FY2017'!$B:$B, '2.1 Database'!B11, '1.2 FY2017'!$F:$F)</f>
        <v>-343675</v>
      </c>
      <c r="H11" s="5">
        <f>-SUMIF('1.3 FY2018'!$B:$B, '2.1 Database'!B11, '1.3 FY2018'!$F:$F)</f>
        <v>-350370.99399999995</v>
      </c>
      <c r="I11" s="2" t="s">
        <v>225</v>
      </c>
      <c r="L11" s="5">
        <f>COUNTIF('2.2 P&amp;L statement'!$B$4:$B$24,'2.1 Database'!I11)</f>
        <v>1</v>
      </c>
    </row>
    <row r="12" spans="2:12" x14ac:dyDescent="0.2">
      <c r="B12" s="5" t="s">
        <v>122</v>
      </c>
      <c r="C12" s="5" t="str">
        <f>VLOOKUP($B12,'1.1 FY2016'!$B$5:$E$61,2,FALSE)</f>
        <v>R&amp;D expenses</v>
      </c>
      <c r="D12" s="5">
        <f>VLOOKUP($B12,'1.1 FY2016'!$B$5:$E$61,3,FALSE)</f>
        <v>88</v>
      </c>
      <c r="E12" s="5" t="str">
        <f>VLOOKUP($B12,'1.1 FY2016'!$B$5:$E$61,4,FALSE)</f>
        <v>Generco Ltd</v>
      </c>
      <c r="F12" s="5">
        <f>-SUMIF('1.1 FY2016'!$B:$B, '2.1 Database'!B12,'1.1 FY2016'!$F:$F)</f>
        <v>-2245437.54</v>
      </c>
      <c r="G12" s="5">
        <f>-SUMIF('1.2 FY2017'!$B:$B, '2.1 Database'!B12, '1.2 FY2017'!$F:$F)</f>
        <v>-1980162.23</v>
      </c>
      <c r="H12" s="5">
        <f>-SUMIF('1.3 FY2018'!$B:$B, '2.1 Database'!B12, '1.3 FY2018'!$F:$F)</f>
        <v>-3116017.1540000001</v>
      </c>
      <c r="I12" s="2" t="s">
        <v>225</v>
      </c>
      <c r="L12" s="5">
        <f>COUNTIF('2.2 P&amp;L statement'!$B$4:$B$24,'2.1 Database'!I12)</f>
        <v>1</v>
      </c>
    </row>
    <row r="13" spans="2:12" x14ac:dyDescent="0.2">
      <c r="B13" s="5" t="s">
        <v>123</v>
      </c>
      <c r="C13" s="5" t="str">
        <f>VLOOKUP($B13,'1.1 FY2016'!$B$5:$E$61,2,FALSE)</f>
        <v>R&amp;D expenses</v>
      </c>
      <c r="D13" s="5">
        <f>VLOOKUP($B13,'1.1 FY2016'!$B$5:$E$61,3,FALSE)</f>
        <v>111111</v>
      </c>
      <c r="E13" s="5" t="str">
        <f>VLOOKUP($B13,'1.1 FY2016'!$B$5:$E$61,4,FALSE)</f>
        <v>External</v>
      </c>
      <c r="F13" s="5">
        <f>-SUMIF('1.1 FY2016'!$B:$B, '2.1 Database'!B13,'1.1 FY2016'!$F:$F)</f>
        <v>-16605.634000000002</v>
      </c>
      <c r="G13" s="5">
        <f>-SUMIF('1.2 FY2017'!$B:$B, '2.1 Database'!B13, '1.2 FY2017'!$F:$F)</f>
        <v>-27148.625</v>
      </c>
      <c r="H13" s="5">
        <f>-SUMIF('1.3 FY2018'!$B:$B, '2.1 Database'!B13, '1.3 FY2018'!$F:$F)</f>
        <v>-9783.7069999999985</v>
      </c>
      <c r="I13" s="2" t="s">
        <v>225</v>
      </c>
      <c r="L13" s="5">
        <f>COUNTIF('2.2 P&amp;L statement'!$B$4:$B$24,'2.1 Database'!I13)</f>
        <v>1</v>
      </c>
    </row>
    <row r="14" spans="2:12" x14ac:dyDescent="0.2">
      <c r="B14" s="5" t="s">
        <v>124</v>
      </c>
      <c r="C14" s="5" t="str">
        <f>VLOOKUP($B14,'1.1 FY2016'!$B$5:$E$61,2,FALSE)</f>
        <v>Wages and salaries</v>
      </c>
      <c r="D14" s="5">
        <f>VLOOKUP($B14,'1.1 FY2016'!$B$5:$E$61,3,FALSE)</f>
        <v>111111</v>
      </c>
      <c r="E14" s="5" t="str">
        <f>VLOOKUP($B14,'1.1 FY2016'!$B$5:$E$61,4,FALSE)</f>
        <v>External</v>
      </c>
      <c r="F14" s="5">
        <f>-SUMIF('1.1 FY2016'!$B:$B, '2.1 Database'!B14,'1.1 FY2016'!$F:$F)</f>
        <v>-4683394.0460000001</v>
      </c>
      <c r="G14" s="5">
        <f>-SUMIF('1.2 FY2017'!$B:$B, '2.1 Database'!B14, '1.2 FY2017'!$F:$F)</f>
        <v>-5507141.0549999997</v>
      </c>
      <c r="H14" s="5">
        <f>-SUMIF('1.3 FY2018'!$B:$B, '2.1 Database'!B14, '1.3 FY2018'!$F:$F)</f>
        <v>-3982699.5329999998</v>
      </c>
      <c r="I14" s="2" t="s">
        <v>226</v>
      </c>
      <c r="L14" s="5">
        <f>COUNTIF('2.2 P&amp;L statement'!$B$4:$B$24,'2.1 Database'!I14)</f>
        <v>1</v>
      </c>
    </row>
    <row r="15" spans="2:12" x14ac:dyDescent="0.2">
      <c r="B15" s="5" t="s">
        <v>125</v>
      </c>
      <c r="C15" s="5" t="str">
        <f>VLOOKUP($B15,'1.1 FY2016'!$B$5:$E$61,2,FALSE)</f>
        <v>Pension contributions</v>
      </c>
      <c r="D15" s="5">
        <f>VLOOKUP($B15,'1.1 FY2016'!$B$5:$E$61,3,FALSE)</f>
        <v>111101</v>
      </c>
      <c r="E15" s="5" t="str">
        <f>VLOOKUP($B15,'1.1 FY2016'!$B$5:$E$61,4,FALSE)</f>
        <v>Not assigned</v>
      </c>
      <c r="F15" s="5">
        <f>-SUMIF('1.1 FY2016'!$B:$B, '2.1 Database'!B15,'1.1 FY2016'!$F:$F)</f>
        <v>-1143051.5760000001</v>
      </c>
      <c r="G15" s="5">
        <f>-SUMIF('1.2 FY2017'!$B:$B, '2.1 Database'!B15, '1.2 FY2017'!$F:$F)</f>
        <v>-2057298.04</v>
      </c>
      <c r="H15" s="5">
        <f>-SUMIF('1.3 FY2018'!$B:$B, '2.1 Database'!B15, '1.3 FY2018'!$F:$F)</f>
        <v>-1709688.6429999997</v>
      </c>
      <c r="I15" s="2" t="s">
        <v>226</v>
      </c>
      <c r="L15" s="5">
        <f>COUNTIF('2.2 P&amp;L statement'!$B$4:$B$24,'2.1 Database'!I15)</f>
        <v>1</v>
      </c>
    </row>
    <row r="16" spans="2:12" x14ac:dyDescent="0.2">
      <c r="B16" s="5" t="s">
        <v>126</v>
      </c>
      <c r="C16" s="5" t="str">
        <f>VLOOKUP($B16,'1.1 FY2016'!$B$5:$E$61,2,FALSE)</f>
        <v>Pension contributions</v>
      </c>
      <c r="D16" s="5">
        <f>VLOOKUP($B16,'1.1 FY2016'!$B$5:$E$61,3,FALSE)</f>
        <v>88</v>
      </c>
      <c r="E16" s="5" t="str">
        <f>VLOOKUP($B16,'1.1 FY2016'!$B$5:$E$61,4,FALSE)</f>
        <v>Generco Ltd</v>
      </c>
      <c r="F16" s="5">
        <f>-SUMIF('1.1 FY2016'!$B:$B, '2.1 Database'!B16,'1.1 FY2016'!$F:$F)</f>
        <v>-239379.61800000002</v>
      </c>
      <c r="G16" s="5">
        <f>-SUMIF('1.2 FY2017'!$B:$B, '2.1 Database'!B16, '1.2 FY2017'!$F:$F)</f>
        <v>0</v>
      </c>
      <c r="H16" s="5">
        <f>-SUMIF('1.3 FY2018'!$B:$B, '2.1 Database'!B16, '1.3 FY2018'!$F:$F)</f>
        <v>0</v>
      </c>
      <c r="I16" s="2" t="s">
        <v>226</v>
      </c>
      <c r="L16" s="5">
        <f>COUNTIF('2.2 P&amp;L statement'!$B$4:$B$24,'2.1 Database'!I16)</f>
        <v>1</v>
      </c>
    </row>
    <row r="17" spans="2:12" x14ac:dyDescent="0.2">
      <c r="B17" s="5" t="s">
        <v>127</v>
      </c>
      <c r="C17" s="5" t="str">
        <f>VLOOKUP($B17,'1.1 FY2016'!$B$5:$E$61,2,FALSE)</f>
        <v>Severance indemnity contribution</v>
      </c>
      <c r="D17" s="5">
        <f>VLOOKUP($B17,'1.1 FY2016'!$B$5:$E$61,3,FALSE)</f>
        <v>111101</v>
      </c>
      <c r="E17" s="5" t="str">
        <f>VLOOKUP($B17,'1.1 FY2016'!$B$5:$E$61,4,FALSE)</f>
        <v>Not assigned</v>
      </c>
      <c r="F17" s="5">
        <f>-SUMIF('1.1 FY2016'!$B:$B, '2.1 Database'!B17,'1.1 FY2016'!$F:$F)</f>
        <v>-104913.8</v>
      </c>
      <c r="G17" s="5">
        <f>-SUMIF('1.2 FY2017'!$B:$B, '2.1 Database'!B17, '1.2 FY2017'!$F:$F)</f>
        <v>-500500</v>
      </c>
      <c r="H17" s="5">
        <f>-SUMIF('1.3 FY2018'!$B:$B, '2.1 Database'!B17, '1.3 FY2018'!$F:$F)</f>
        <v>-143500</v>
      </c>
      <c r="I17" s="2" t="s">
        <v>226</v>
      </c>
      <c r="L17" s="5">
        <f>COUNTIF('2.2 P&amp;L statement'!$B$4:$B$24,'2.1 Database'!I17)</f>
        <v>1</v>
      </c>
    </row>
    <row r="18" spans="2:12" x14ac:dyDescent="0.2">
      <c r="B18" s="5" t="s">
        <v>128</v>
      </c>
      <c r="C18" s="5" t="str">
        <f>VLOOKUP($B18,'1.1 FY2016'!$B$5:$E$61,2,FALSE)</f>
        <v>D&amp;A</v>
      </c>
      <c r="D18" s="5">
        <f>VLOOKUP($B18,'1.1 FY2016'!$B$5:$E$61,3,FALSE)</f>
        <v>111101</v>
      </c>
      <c r="E18" s="5" t="str">
        <f>VLOOKUP($B18,'1.1 FY2016'!$B$5:$E$61,4,FALSE)</f>
        <v>Not assigned</v>
      </c>
      <c r="F18" s="5">
        <f>-SUMIF('1.1 FY2016'!$B:$B, '2.1 Database'!B18,'1.1 FY2016'!$F:$F)</f>
        <v>-2003262.2180000001</v>
      </c>
      <c r="G18" s="5">
        <f>-SUMIF('1.2 FY2017'!$B:$B, '2.1 Database'!B18, '1.2 FY2017'!$F:$F)</f>
        <v>-1897676.87</v>
      </c>
      <c r="H18" s="5">
        <f>-SUMIF('1.3 FY2018'!$B:$B, '2.1 Database'!B18, '1.3 FY2018'!$F:$F)</f>
        <v>-1875768.159</v>
      </c>
      <c r="I18" s="2" t="s">
        <v>72</v>
      </c>
      <c r="L18" s="5">
        <f>COUNTIF('2.2 P&amp;L statement'!$B$4:$B$24,'2.1 Database'!I18)</f>
        <v>1</v>
      </c>
    </row>
    <row r="19" spans="2:12" x14ac:dyDescent="0.2">
      <c r="B19" s="5" t="s">
        <v>129</v>
      </c>
      <c r="C19" s="5" t="str">
        <f>VLOOKUP($B19,'1.1 FY2016'!$B$5:$E$61,2,FALSE)</f>
        <v>D&amp;A</v>
      </c>
      <c r="D19" s="5">
        <f>VLOOKUP($B19,'1.1 FY2016'!$B$5:$E$61,3,FALSE)</f>
        <v>1</v>
      </c>
      <c r="E19" s="5" t="str">
        <f>VLOOKUP($B19,'1.1 FY2016'!$B$5:$E$61,4,FALSE)</f>
        <v>Not assigned</v>
      </c>
      <c r="F19" s="5">
        <f>-SUMIF('1.1 FY2016'!$B:$B, '2.1 Database'!B19,'1.1 FY2016'!$F:$F)</f>
        <v>-41981.296000000002</v>
      </c>
      <c r="G19" s="5">
        <f>-SUMIF('1.2 FY2017'!$B:$B, '2.1 Database'!B19, '1.2 FY2017'!$F:$F)</f>
        <v>0</v>
      </c>
      <c r="H19" s="5">
        <f>-SUMIF('1.3 FY2018'!$B:$B, '2.1 Database'!B19, '1.3 FY2018'!$F:$F)</f>
        <v>0</v>
      </c>
      <c r="I19" s="2" t="s">
        <v>72</v>
      </c>
      <c r="L19" s="5">
        <f>COUNTIF('2.2 P&amp;L statement'!$B$4:$B$24,'2.1 Database'!I19)</f>
        <v>1</v>
      </c>
    </row>
    <row r="20" spans="2:12" x14ac:dyDescent="0.2">
      <c r="B20" s="5" t="s">
        <v>130</v>
      </c>
      <c r="C20" s="5" t="str">
        <f>VLOOKUP($B20,'1.1 FY2016'!$B$5:$E$61,2,FALSE)</f>
        <v>Corporate recharges</v>
      </c>
      <c r="D20" s="5" t="str">
        <f>VLOOKUP($B20,'1.1 FY2016'!$B$5:$E$61,3,FALSE)</f>
        <v>1</v>
      </c>
      <c r="E20" s="5" t="str">
        <f>VLOOKUP($B20,'1.1 FY2016'!$B$5:$E$61,4,FALSE)</f>
        <v>Greeny Ltd</v>
      </c>
      <c r="F20" s="5">
        <f>-SUMIF('1.1 FY2016'!$B:$B, '2.1 Database'!B20,'1.1 FY2016'!$F:$F)</f>
        <v>2156147.4</v>
      </c>
      <c r="G20" s="5">
        <f>-SUMIF('1.2 FY2017'!$B:$B, '2.1 Database'!B20, '1.2 FY2017'!$F:$F)</f>
        <v>1643711.145</v>
      </c>
      <c r="H20" s="5">
        <f>-SUMIF('1.3 FY2018'!$B:$B, '2.1 Database'!B20, '1.3 FY2018'!$F:$F)</f>
        <v>1418521.358</v>
      </c>
      <c r="I20" s="2" t="s">
        <v>227</v>
      </c>
      <c r="L20" s="5">
        <f>COUNTIF('2.2 P&amp;L statement'!$B$4:$B$24,'2.1 Database'!I20)</f>
        <v>1</v>
      </c>
    </row>
    <row r="21" spans="2:12" x14ac:dyDescent="0.2">
      <c r="B21" s="5" t="s">
        <v>131</v>
      </c>
      <c r="C21" s="5" t="str">
        <f>VLOOKUP($B21,'1.1 FY2016'!$B$5:$E$61,2,FALSE)</f>
        <v>Corporate recharges</v>
      </c>
      <c r="D21" s="5">
        <f>VLOOKUP($B21,'1.1 FY2016'!$B$5:$E$61,3,FALSE)</f>
        <v>14</v>
      </c>
      <c r="E21" s="5" t="str">
        <f>VLOOKUP($B21,'1.1 FY2016'!$B$5:$E$61,4,FALSE)</f>
        <v>Generco Cosmetics Ltd</v>
      </c>
      <c r="F21" s="5">
        <f>-SUMIF('1.1 FY2016'!$B:$B, '2.1 Database'!B21,'1.1 FY2016'!$F:$F)</f>
        <v>291428.55199999997</v>
      </c>
      <c r="G21" s="5">
        <f>-SUMIF('1.2 FY2017'!$B:$B, '2.1 Database'!B21, '1.2 FY2017'!$F:$F)</f>
        <v>0</v>
      </c>
      <c r="H21" s="5">
        <f>-SUMIF('1.3 FY2018'!$B:$B, '2.1 Database'!B21, '1.3 FY2018'!$F:$F)</f>
        <v>0</v>
      </c>
      <c r="I21" s="2" t="s">
        <v>227</v>
      </c>
      <c r="L21" s="5">
        <f>COUNTIF('2.2 P&amp;L statement'!$B$4:$B$24,'2.1 Database'!I21)</f>
        <v>1</v>
      </c>
    </row>
    <row r="22" spans="2:12" x14ac:dyDescent="0.2">
      <c r="B22" s="5" t="s">
        <v>132</v>
      </c>
      <c r="C22" s="5" t="str">
        <f>VLOOKUP($B22,'1.1 FY2016'!$B$5:$E$61,2,FALSE)</f>
        <v>Corporate recharges</v>
      </c>
      <c r="D22" s="5">
        <f>VLOOKUP($B22,'1.1 FY2016'!$B$5:$E$61,3,FALSE)</f>
        <v>1037</v>
      </c>
      <c r="E22" s="5" t="str">
        <f>VLOOKUP($B22,'1.1 FY2016'!$B$5:$E$61,4,FALSE)</f>
        <v>Generco Canada JSC</v>
      </c>
      <c r="F22" s="5">
        <f>-SUMIF('1.1 FY2016'!$B:$B, '2.1 Database'!B22,'1.1 FY2016'!$F:$F)</f>
        <v>0</v>
      </c>
      <c r="G22" s="5">
        <f>-SUMIF('1.2 FY2017'!$B:$B, '2.1 Database'!B22, '1.2 FY2017'!$F:$F)</f>
        <v>0</v>
      </c>
      <c r="H22" s="5">
        <f>-SUMIF('1.3 FY2018'!$B:$B, '2.1 Database'!B22, '1.3 FY2018'!$F:$F)</f>
        <v>0</v>
      </c>
      <c r="I22" s="2" t="s">
        <v>227</v>
      </c>
      <c r="L22" s="5">
        <f>COUNTIF('2.2 P&amp;L statement'!$B$4:$B$24,'2.1 Database'!I22)</f>
        <v>1</v>
      </c>
    </row>
    <row r="23" spans="2:12" x14ac:dyDescent="0.2">
      <c r="B23" s="5" t="s">
        <v>133</v>
      </c>
      <c r="C23" s="5" t="str">
        <f>VLOOKUP($B23,'1.1 FY2016'!$B$5:$E$61,2,FALSE)</f>
        <v>Corporate recharges</v>
      </c>
      <c r="D23" s="5" t="str">
        <f>VLOOKUP($B23,'1.1 FY2016'!$B$5:$E$61,3,FALSE)</f>
        <v>1087</v>
      </c>
      <c r="E23" s="5" t="str">
        <f>VLOOKUP($B23,'1.1 FY2016'!$B$5:$E$61,4,FALSE)</f>
        <v>Gener Beauty GmbH</v>
      </c>
      <c r="F23" s="5">
        <f>-SUMIF('1.1 FY2016'!$B:$B, '2.1 Database'!B23,'1.1 FY2016'!$F:$F)</f>
        <v>33736.5</v>
      </c>
      <c r="G23" s="5">
        <f>-SUMIF('1.2 FY2017'!$B:$B, '2.1 Database'!B23, '1.2 FY2017'!$F:$F)</f>
        <v>0</v>
      </c>
      <c r="H23" s="5">
        <f>-SUMIF('1.3 FY2018'!$B:$B, '2.1 Database'!B23, '1.3 FY2018'!$F:$F)</f>
        <v>0</v>
      </c>
      <c r="I23" s="2" t="s">
        <v>227</v>
      </c>
      <c r="L23" s="5">
        <f>COUNTIF('2.2 P&amp;L statement'!$B$4:$B$24,'2.1 Database'!I23)</f>
        <v>1</v>
      </c>
    </row>
    <row r="24" spans="2:12" x14ac:dyDescent="0.2">
      <c r="B24" s="5" t="s">
        <v>134</v>
      </c>
      <c r="C24" s="5" t="str">
        <f>VLOOKUP($B24,'1.1 FY2016'!$B$5:$E$61,2,FALSE)</f>
        <v>Corporate recharges</v>
      </c>
      <c r="D24" s="5">
        <f>VLOOKUP($B24,'1.1 FY2016'!$B$5:$E$61,3,FALSE)</f>
        <v>1009</v>
      </c>
      <c r="E24" s="5" t="str">
        <f>VLOOKUP($B24,'1.1 FY2016'!$B$5:$E$61,4,FALSE)</f>
        <v>Green Ventures Ltd</v>
      </c>
      <c r="F24" s="5">
        <f>-SUMIF('1.1 FY2016'!$B:$B, '2.1 Database'!B24,'1.1 FY2016'!$F:$F)</f>
        <v>0</v>
      </c>
      <c r="G24" s="5">
        <f>-SUMIF('1.2 FY2017'!$B:$B, '2.1 Database'!B24, '1.2 FY2017'!$F:$F)</f>
        <v>0</v>
      </c>
      <c r="H24" s="5">
        <f>-SUMIF('1.3 FY2018'!$B:$B, '2.1 Database'!B24, '1.3 FY2018'!$F:$F)</f>
        <v>0</v>
      </c>
      <c r="I24" s="2" t="s">
        <v>227</v>
      </c>
      <c r="L24" s="5">
        <f>COUNTIF('2.2 P&amp;L statement'!$B$4:$B$24,'2.1 Database'!I24)</f>
        <v>1</v>
      </c>
    </row>
    <row r="25" spans="2:12" x14ac:dyDescent="0.2">
      <c r="B25" s="5" t="s">
        <v>135</v>
      </c>
      <c r="C25" s="5" t="str">
        <f>VLOOKUP($B25,'1.1 FY2016'!$B$5:$E$61,2,FALSE)</f>
        <v>Corporate recharges</v>
      </c>
      <c r="D25" s="5">
        <f>VLOOKUP($B25,'1.1 FY2016'!$B$5:$E$61,3,FALSE)</f>
        <v>1007</v>
      </c>
      <c r="E25" s="5" t="str">
        <f>VLOOKUP($B25,'1.1 FY2016'!$B$5:$E$61,4,FALSE)</f>
        <v>Generco Sunshine JSC</v>
      </c>
      <c r="F25" s="5">
        <f>-SUMIF('1.1 FY2016'!$B:$B, '2.1 Database'!B25,'1.1 FY2016'!$F:$F)</f>
        <v>0</v>
      </c>
      <c r="G25" s="5">
        <f>-SUMIF('1.2 FY2017'!$B:$B, '2.1 Database'!B25, '1.2 FY2017'!$F:$F)</f>
        <v>0</v>
      </c>
      <c r="H25" s="5">
        <f>-SUMIF('1.3 FY2018'!$B:$B, '2.1 Database'!B25, '1.3 FY2018'!$F:$F)</f>
        <v>0</v>
      </c>
      <c r="I25" s="2" t="s">
        <v>227</v>
      </c>
      <c r="L25" s="5">
        <f>COUNTIF('2.2 P&amp;L statement'!$B$4:$B$24,'2.1 Database'!I25)</f>
        <v>1</v>
      </c>
    </row>
    <row r="26" spans="2:12" x14ac:dyDescent="0.2">
      <c r="B26" s="5" t="s">
        <v>136</v>
      </c>
      <c r="C26" s="5" t="str">
        <f>VLOOKUP($B26,'1.1 FY2016'!$B$5:$E$61,2,FALSE)</f>
        <v>Corporate recharges</v>
      </c>
      <c r="D26" s="5">
        <f>VLOOKUP($B26,'1.1 FY2016'!$B$5:$E$61,3,FALSE)</f>
        <v>1008</v>
      </c>
      <c r="E26" s="5" t="str">
        <f>VLOOKUP($B26,'1.1 FY2016'!$B$5:$E$61,4,FALSE)</f>
        <v>Greenco Ltd</v>
      </c>
      <c r="F26" s="5">
        <f>-SUMIF('1.1 FY2016'!$B:$B, '2.1 Database'!B26,'1.1 FY2016'!$F:$F)</f>
        <v>0</v>
      </c>
      <c r="G26" s="5">
        <f>-SUMIF('1.2 FY2017'!$B:$B, '2.1 Database'!B26, '1.2 FY2017'!$F:$F)</f>
        <v>0</v>
      </c>
      <c r="H26" s="5">
        <f>-SUMIF('1.3 FY2018'!$B:$B, '2.1 Database'!B26, '1.3 FY2018'!$F:$F)</f>
        <v>0</v>
      </c>
      <c r="I26" s="2" t="s">
        <v>227</v>
      </c>
      <c r="L26" s="5">
        <f>COUNTIF('2.2 P&amp;L statement'!$B$4:$B$24,'2.1 Database'!I26)</f>
        <v>1</v>
      </c>
    </row>
    <row r="27" spans="2:12" x14ac:dyDescent="0.2">
      <c r="B27" s="5" t="s">
        <v>137</v>
      </c>
      <c r="C27" s="5" t="str">
        <f>VLOOKUP($B27,'1.1 FY2016'!$B$5:$E$61,2,FALSE)</f>
        <v>Corporate recharges</v>
      </c>
      <c r="D27" s="5">
        <f>VLOOKUP($B27,'1.1 FY2016'!$B$5:$E$61,3,FALSE)</f>
        <v>1240</v>
      </c>
      <c r="E27" s="5" t="str">
        <f>VLOOKUP($B27,'1.1 FY2016'!$B$5:$E$61,4,FALSE)</f>
        <v xml:space="preserve">Generco UK </v>
      </c>
      <c r="F27" s="5">
        <f>-SUMIF('1.1 FY2016'!$B:$B, '2.1 Database'!B27,'1.1 FY2016'!$F:$F)</f>
        <v>199600.4</v>
      </c>
      <c r="G27" s="5">
        <f>-SUMIF('1.2 FY2017'!$B:$B, '2.1 Database'!B27, '1.2 FY2017'!$F:$F)</f>
        <v>10461.36</v>
      </c>
      <c r="H27" s="5">
        <f>-SUMIF('1.3 FY2018'!$B:$B, '2.1 Database'!B27, '1.3 FY2018'!$F:$F)</f>
        <v>0</v>
      </c>
      <c r="I27" s="2" t="s">
        <v>227</v>
      </c>
      <c r="L27" s="5">
        <f>COUNTIF('2.2 P&amp;L statement'!$B$4:$B$24,'2.1 Database'!I27)</f>
        <v>1</v>
      </c>
    </row>
    <row r="28" spans="2:12" x14ac:dyDescent="0.2">
      <c r="B28" s="5" t="s">
        <v>138</v>
      </c>
      <c r="C28" s="5" t="str">
        <f>VLOOKUP($B28,'1.1 FY2016'!$B$5:$E$61,2,FALSE)</f>
        <v>Corporate recharges</v>
      </c>
      <c r="D28" s="5">
        <f>VLOOKUP($B28,'1.1 FY2016'!$B$5:$E$61,3,FALSE)</f>
        <v>111111</v>
      </c>
      <c r="E28" s="5" t="str">
        <f>VLOOKUP($B28,'1.1 FY2016'!$B$5:$E$61,4,FALSE)</f>
        <v>External</v>
      </c>
      <c r="F28" s="5">
        <f>-SUMIF('1.1 FY2016'!$B:$B, '2.1 Database'!B28,'1.1 FY2016'!$F:$F)</f>
        <v>539141.4</v>
      </c>
      <c r="G28" s="5">
        <f>-SUMIF('1.2 FY2017'!$B:$B, '2.1 Database'!B28, '1.2 FY2017'!$F:$F)</f>
        <v>6785.94</v>
      </c>
      <c r="H28" s="5">
        <f>-SUMIF('1.3 FY2018'!$B:$B, '2.1 Database'!B28, '1.3 FY2018'!$F:$F)</f>
        <v>902857.84299999999</v>
      </c>
      <c r="I28" s="2" t="s">
        <v>227</v>
      </c>
      <c r="L28" s="5">
        <f>COUNTIF('2.2 P&amp;L statement'!$B$4:$B$24,'2.1 Database'!I28)</f>
        <v>1</v>
      </c>
    </row>
    <row r="29" spans="2:12" x14ac:dyDescent="0.2">
      <c r="B29" s="5" t="s">
        <v>139</v>
      </c>
      <c r="C29" s="5" t="str">
        <f>VLOOKUP($B29,'1.1 FY2016'!$B$5:$E$61,2,FALSE)</f>
        <v>Other income</v>
      </c>
      <c r="D29" s="5">
        <f>VLOOKUP($B29,'1.1 FY2016'!$B$5:$E$61,3,FALSE)</f>
        <v>111111</v>
      </c>
      <c r="E29" s="5" t="str">
        <f>VLOOKUP($B29,'1.1 FY2016'!$B$5:$E$61,4,FALSE)</f>
        <v>External</v>
      </c>
      <c r="F29" s="5">
        <f>-SUMIF('1.1 FY2016'!$B:$B, '2.1 Database'!B29,'1.1 FY2016'!$F:$F)</f>
        <v>57.221999999999994</v>
      </c>
      <c r="G29" s="5">
        <f>-SUMIF('1.2 FY2017'!$B:$B, '2.1 Database'!B29, '1.2 FY2017'!$F:$F)</f>
        <v>-9793.84</v>
      </c>
      <c r="H29" s="5">
        <f>-SUMIF('1.3 FY2018'!$B:$B, '2.1 Database'!B29, '1.3 FY2018'!$F:$F)</f>
        <v>15872.001999999999</v>
      </c>
      <c r="I29" s="2" t="s">
        <v>74</v>
      </c>
      <c r="L29" s="5">
        <f>COUNTIF('2.2 P&amp;L statement'!$B$4:$B$24,'2.1 Database'!I29)</f>
        <v>1</v>
      </c>
    </row>
    <row r="30" spans="2:12" x14ac:dyDescent="0.2">
      <c r="B30" s="5" t="s">
        <v>140</v>
      </c>
      <c r="C30" s="5" t="str">
        <f>VLOOKUP($B30,'1.1 FY2016'!$B$5:$E$61,2,FALSE)</f>
        <v>Marketing expenses</v>
      </c>
      <c r="D30" s="5">
        <f>VLOOKUP($B30,'1.1 FY2016'!$B$5:$E$61,3,FALSE)</f>
        <v>111111</v>
      </c>
      <c r="E30" s="5" t="str">
        <f>VLOOKUP($B30,'1.1 FY2016'!$B$5:$E$61,4,FALSE)</f>
        <v>External</v>
      </c>
      <c r="F30" s="5">
        <f>-SUMIF('1.1 FY2016'!$B:$B, '2.1 Database'!B30,'1.1 FY2016'!$F:$F)</f>
        <v>-22314.879999999997</v>
      </c>
      <c r="G30" s="5">
        <f>-SUMIF('1.2 FY2017'!$B:$B, '2.1 Database'!B30, '1.2 FY2017'!$F:$F)</f>
        <v>-65947.7</v>
      </c>
      <c r="H30" s="5">
        <f>-SUMIF('1.3 FY2018'!$B:$B, '2.1 Database'!B30, '1.3 FY2018'!$F:$F)</f>
        <v>-57.317999999999998</v>
      </c>
      <c r="I30" s="2" t="s">
        <v>225</v>
      </c>
      <c r="L30" s="5">
        <f>COUNTIF('2.2 P&amp;L statement'!$B$4:$B$24,'2.1 Database'!I30)</f>
        <v>1</v>
      </c>
    </row>
    <row r="31" spans="2:12" x14ac:dyDescent="0.2">
      <c r="B31" s="5" t="s">
        <v>141</v>
      </c>
      <c r="C31" s="5" t="str">
        <f>VLOOKUP($B31,'1.1 FY2016'!$B$5:$E$61,2,FALSE)</f>
        <v>Software&amp;IT</v>
      </c>
      <c r="D31" s="5">
        <f>VLOOKUP($B31,'1.1 FY2016'!$B$5:$E$61,3,FALSE)</f>
        <v>88</v>
      </c>
      <c r="E31" s="5" t="str">
        <f>VLOOKUP($B31,'1.1 FY2016'!$B$5:$E$61,4,FALSE)</f>
        <v>Generco Ltd</v>
      </c>
      <c r="F31" s="5">
        <f>-SUMIF('1.1 FY2016'!$B:$B, '2.1 Database'!B31,'1.1 FY2016'!$F:$F)</f>
        <v>-204000</v>
      </c>
      <c r="G31" s="5">
        <f>-SUMIF('1.2 FY2017'!$B:$B, '2.1 Database'!B31, '1.2 FY2017'!$F:$F)</f>
        <v>0</v>
      </c>
      <c r="H31" s="5">
        <f>-SUMIF('1.3 FY2018'!$B:$B, '2.1 Database'!B31, '1.3 FY2018'!$F:$F)</f>
        <v>0</v>
      </c>
      <c r="I31" s="2" t="s">
        <v>225</v>
      </c>
      <c r="L31" s="5">
        <f>COUNTIF('2.2 P&amp;L statement'!$B$4:$B$24,'2.1 Database'!I31)</f>
        <v>1</v>
      </c>
    </row>
    <row r="32" spans="2:12" x14ac:dyDescent="0.2">
      <c r="B32" s="5" t="s">
        <v>142</v>
      </c>
      <c r="C32" s="5" t="str">
        <f>VLOOKUP($B32,'1.1 FY2016'!$B$5:$E$61,2,FALSE)</f>
        <v>Software&amp;IT</v>
      </c>
      <c r="D32" s="5">
        <f>VLOOKUP($B32,'1.1 FY2016'!$B$5:$E$61,3,FALSE)</f>
        <v>111111</v>
      </c>
      <c r="E32" s="5" t="str">
        <f>VLOOKUP($B32,'1.1 FY2016'!$B$5:$E$61,4,FALSE)</f>
        <v>External</v>
      </c>
      <c r="F32" s="5">
        <f>-SUMIF('1.1 FY2016'!$B:$B, '2.1 Database'!B32,'1.1 FY2016'!$F:$F)</f>
        <v>-138.41399999999999</v>
      </c>
      <c r="G32" s="5">
        <f>-SUMIF('1.2 FY2017'!$B:$B, '2.1 Database'!B32, '1.2 FY2017'!$F:$F)</f>
        <v>-5138.91</v>
      </c>
      <c r="H32" s="5">
        <f>-SUMIF('1.3 FY2018'!$B:$B, '2.1 Database'!B32, '1.3 FY2018'!$F:$F)</f>
        <v>-19198.66</v>
      </c>
      <c r="I32" s="2" t="s">
        <v>225</v>
      </c>
      <c r="L32" s="5">
        <f>COUNTIF('2.2 P&amp;L statement'!$B$4:$B$24,'2.1 Database'!I32)</f>
        <v>1</v>
      </c>
    </row>
    <row r="33" spans="2:12" x14ac:dyDescent="0.2">
      <c r="B33" s="5" t="s">
        <v>143</v>
      </c>
      <c r="C33" s="5" t="str">
        <f>VLOOKUP($B33,'1.1 FY2016'!$B$5:$E$61,2,FALSE)</f>
        <v>Leasings</v>
      </c>
      <c r="D33" s="5">
        <f>VLOOKUP($B33,'1.1 FY2016'!$B$5:$E$61,3,FALSE)</f>
        <v>111111</v>
      </c>
      <c r="E33" s="5" t="str">
        <f>VLOOKUP($B33,'1.1 FY2016'!$B$5:$E$61,4,FALSE)</f>
        <v>External</v>
      </c>
      <c r="F33" s="5">
        <f>-SUMIF('1.1 FY2016'!$B:$B, '2.1 Database'!B33,'1.1 FY2016'!$F:$F)</f>
        <v>-1127445.872</v>
      </c>
      <c r="G33" s="5">
        <f>-SUMIF('1.2 FY2017'!$B:$B, '2.1 Database'!B33, '1.2 FY2017'!$F:$F)</f>
        <v>-1055381.4750000001</v>
      </c>
      <c r="H33" s="5">
        <f>-SUMIF('1.3 FY2018'!$B:$B, '2.1 Database'!B33, '1.3 FY2018'!$F:$F)</f>
        <v>172933.44899999999</v>
      </c>
      <c r="I33" s="2" t="s">
        <v>228</v>
      </c>
      <c r="L33" s="5">
        <f>COUNTIF('2.2 P&amp;L statement'!$B$4:$B$24,'2.1 Database'!I33)</f>
        <v>1</v>
      </c>
    </row>
    <row r="34" spans="2:12" x14ac:dyDescent="0.2">
      <c r="B34" s="5" t="s">
        <v>144</v>
      </c>
      <c r="C34" s="5" t="str">
        <f>VLOOKUP($B34,'1.1 FY2016'!$B$5:$E$61,2,FALSE)</f>
        <v>Service expenses</v>
      </c>
      <c r="D34" s="5" t="str">
        <f>VLOOKUP($B34,'1.1 FY2016'!$B$5:$E$61,3,FALSE)</f>
        <v>43</v>
      </c>
      <c r="E34" s="5" t="str">
        <f>VLOOKUP($B34,'1.1 FY2016'!$B$5:$E$61,4,FALSE)</f>
        <v>Greeny France SL</v>
      </c>
      <c r="F34" s="5">
        <f>-SUMIF('1.1 FY2016'!$B:$B, '2.1 Database'!B34,'1.1 FY2016'!$F:$F)</f>
        <v>-133722</v>
      </c>
      <c r="G34" s="5">
        <f>-SUMIF('1.2 FY2017'!$B:$B, '2.1 Database'!B34, '1.2 FY2017'!$F:$F)</f>
        <v>0</v>
      </c>
      <c r="H34" s="5">
        <f>-SUMIF('1.3 FY2018'!$B:$B, '2.1 Database'!B34, '1.3 FY2018'!$F:$F)</f>
        <v>0</v>
      </c>
      <c r="I34" s="2" t="s">
        <v>229</v>
      </c>
      <c r="L34" s="5">
        <f>COUNTIF('2.2 P&amp;L statement'!$B$4:$B$24,'2.1 Database'!I34)</f>
        <v>1</v>
      </c>
    </row>
    <row r="35" spans="2:12" x14ac:dyDescent="0.2">
      <c r="B35" s="5" t="s">
        <v>145</v>
      </c>
      <c r="C35" s="5" t="str">
        <f>VLOOKUP($B35,'1.1 FY2016'!$B$5:$E$61,2,FALSE)</f>
        <v>Service expenses</v>
      </c>
      <c r="D35" s="5" t="str">
        <f>VLOOKUP($B35,'1.1 FY2016'!$B$5:$E$61,3,FALSE)</f>
        <v>2240</v>
      </c>
      <c r="E35" s="5" t="str">
        <f>VLOOKUP($B35,'1.1 FY2016'!$B$5:$E$61,4,FALSE)</f>
        <v>Greeny Germany GmbH</v>
      </c>
      <c r="F35" s="5">
        <f>-SUMIF('1.1 FY2016'!$B:$B, '2.1 Database'!B35,'1.1 FY2016'!$F:$F)</f>
        <v>-328061.886</v>
      </c>
      <c r="G35" s="5">
        <f>-SUMIF('1.2 FY2017'!$B:$B, '2.1 Database'!B35, '1.2 FY2017'!$F:$F)</f>
        <v>-430845.34499999997</v>
      </c>
      <c r="H35" s="5">
        <f>-SUMIF('1.3 FY2018'!$B:$B, '2.1 Database'!B35, '1.3 FY2018'!$F:$F)</f>
        <v>0</v>
      </c>
      <c r="I35" s="2" t="s">
        <v>229</v>
      </c>
      <c r="L35" s="5">
        <f>COUNTIF('2.2 P&amp;L statement'!$B$4:$B$24,'2.1 Database'!I35)</f>
        <v>1</v>
      </c>
    </row>
    <row r="36" spans="2:12" x14ac:dyDescent="0.2">
      <c r="B36" s="5" t="s">
        <v>146</v>
      </c>
      <c r="C36" s="5" t="str">
        <f>VLOOKUP($B36,'1.1 FY2016'!$B$5:$E$61,2,FALSE)</f>
        <v>Service expenses</v>
      </c>
      <c r="D36" s="5">
        <f>VLOOKUP($B36,'1.1 FY2016'!$B$5:$E$61,3,FALSE)</f>
        <v>111111</v>
      </c>
      <c r="E36" s="5" t="str">
        <f>VLOOKUP($B36,'1.1 FY2016'!$B$5:$E$61,4,FALSE)</f>
        <v>External</v>
      </c>
      <c r="F36" s="5">
        <f>-SUMIF('1.1 FY2016'!$B:$B, '2.1 Database'!B36,'1.1 FY2016'!$F:$F)</f>
        <v>-2081304.3219999997</v>
      </c>
      <c r="G36" s="5">
        <f>-SUMIF('1.2 FY2017'!$B:$B, '2.1 Database'!B36, '1.2 FY2017'!$F:$F)</f>
        <v>-1130021</v>
      </c>
      <c r="H36" s="5">
        <f>-SUMIF('1.3 FY2018'!$B:$B, '2.1 Database'!B36, '1.3 FY2018'!$F:$F)</f>
        <v>-1481408.47</v>
      </c>
      <c r="I36" s="2" t="s">
        <v>229</v>
      </c>
      <c r="L36" s="5">
        <f>COUNTIF('2.2 P&amp;L statement'!$B$4:$B$24,'2.1 Database'!I36)</f>
        <v>1</v>
      </c>
    </row>
    <row r="37" spans="2:12" x14ac:dyDescent="0.2">
      <c r="B37" s="5" t="s">
        <v>147</v>
      </c>
      <c r="C37" s="5" t="str">
        <f>VLOOKUP($B37,'1.1 FY2016'!$B$5:$E$61,2,FALSE)</f>
        <v>Charges and contributions</v>
      </c>
      <c r="D37" s="5">
        <f>VLOOKUP($B37,'1.1 FY2016'!$B$5:$E$61,3,FALSE)</f>
        <v>111111</v>
      </c>
      <c r="E37" s="5" t="str">
        <f>VLOOKUP($B37,'1.1 FY2016'!$B$5:$E$61,4,FALSE)</f>
        <v>External</v>
      </c>
      <c r="F37" s="5">
        <f>-SUMIF('1.1 FY2016'!$B:$B, '2.1 Database'!B37,'1.1 FY2016'!$F:$F)</f>
        <v>-33410.031999999999</v>
      </c>
      <c r="G37" s="5">
        <f>-SUMIF('1.2 FY2017'!$B:$B, '2.1 Database'!B37, '1.2 FY2017'!$F:$F)</f>
        <v>-7293.5450000000001</v>
      </c>
      <c r="H37" s="5">
        <f>-SUMIF('1.3 FY2018'!$B:$B, '2.1 Database'!B37, '1.3 FY2018'!$F:$F)</f>
        <v>-40048.799999999996</v>
      </c>
      <c r="I37" s="2" t="s">
        <v>225</v>
      </c>
      <c r="L37" s="5">
        <f>COUNTIF('2.2 P&amp;L statement'!$B$4:$B$24,'2.1 Database'!I37)</f>
        <v>1</v>
      </c>
    </row>
    <row r="38" spans="2:12" x14ac:dyDescent="0.2">
      <c r="B38" s="5" t="s">
        <v>148</v>
      </c>
      <c r="C38" s="5" t="str">
        <f>VLOOKUP($B38,'1.1 FY2016'!$B$5:$E$61,2,FALSE)</f>
        <v>Insurance expenses</v>
      </c>
      <c r="D38" s="5">
        <f>VLOOKUP($B38,'1.1 FY2016'!$B$5:$E$61,3,FALSE)</f>
        <v>111111</v>
      </c>
      <c r="E38" s="5" t="str">
        <f>VLOOKUP($B38,'1.1 FY2016'!$B$5:$E$61,4,FALSE)</f>
        <v>External</v>
      </c>
      <c r="F38" s="5">
        <f>-SUMIF('1.1 FY2016'!$B:$B, '2.1 Database'!B38,'1.1 FY2016'!$F:$F)</f>
        <v>-213090.85199999998</v>
      </c>
      <c r="G38" s="5">
        <f>-SUMIF('1.2 FY2017'!$B:$B, '2.1 Database'!B38, '1.2 FY2017'!$F:$F)</f>
        <v>-48468.665000000001</v>
      </c>
      <c r="H38" s="5">
        <f>-SUMIF('1.3 FY2018'!$B:$B, '2.1 Database'!B38, '1.3 FY2018'!$F:$F)</f>
        <v>-64039.82699999999</v>
      </c>
      <c r="I38" s="2" t="s">
        <v>225</v>
      </c>
      <c r="L38" s="5">
        <f>COUNTIF('2.2 P&amp;L statement'!$B$4:$B$24,'2.1 Database'!I38)</f>
        <v>1</v>
      </c>
    </row>
    <row r="39" spans="2:12" x14ac:dyDescent="0.2">
      <c r="B39" s="5" t="s">
        <v>149</v>
      </c>
      <c r="C39" s="5" t="str">
        <f>VLOOKUP($B39,'1.1 FY2016'!$B$5:$E$61,2,FALSE)</f>
        <v>Travel expenses</v>
      </c>
      <c r="D39" s="5">
        <f>VLOOKUP($B39,'1.1 FY2016'!$B$5:$E$61,3,FALSE)</f>
        <v>111111</v>
      </c>
      <c r="E39" s="5" t="str">
        <f>VLOOKUP($B39,'1.1 FY2016'!$B$5:$E$61,4,FALSE)</f>
        <v>External</v>
      </c>
      <c r="F39" s="5">
        <f>-SUMIF('1.1 FY2016'!$B:$B, '2.1 Database'!B39,'1.1 FY2016'!$F:$F)</f>
        <v>-1813525.004</v>
      </c>
      <c r="G39" s="5">
        <f>-SUMIF('1.2 FY2017'!$B:$B, '2.1 Database'!B39, '1.2 FY2017'!$F:$F)</f>
        <v>-2393259.19</v>
      </c>
      <c r="H39" s="5">
        <f>-SUMIF('1.3 FY2018'!$B:$B, '2.1 Database'!B39, '1.3 FY2018'!$F:$F)</f>
        <v>-2514431.8869999996</v>
      </c>
      <c r="I39" s="2" t="s">
        <v>230</v>
      </c>
      <c r="L39" s="5">
        <f>COUNTIF('2.2 P&amp;L statement'!$B$4:$B$24,'2.1 Database'!I39)</f>
        <v>1</v>
      </c>
    </row>
    <row r="40" spans="2:12" x14ac:dyDescent="0.2">
      <c r="B40" s="5" t="s">
        <v>150</v>
      </c>
      <c r="C40" s="5" t="str">
        <f>VLOOKUP($B40,'1.1 FY2016'!$B$5:$E$61,2,FALSE)</f>
        <v>Utility expenses</v>
      </c>
      <c r="D40" s="5">
        <f>VLOOKUP($B40,'1.1 FY2016'!$B$5:$E$61,3,FALSE)</f>
        <v>111111</v>
      </c>
      <c r="E40" s="5" t="str">
        <f>VLOOKUP($B40,'1.1 FY2016'!$B$5:$E$61,4,FALSE)</f>
        <v>External</v>
      </c>
      <c r="F40" s="5">
        <f>-SUMIF('1.1 FY2016'!$B:$B, '2.1 Database'!B40,'1.1 FY2016'!$F:$F)</f>
        <v>-5552.2</v>
      </c>
      <c r="G40" s="5">
        <f>-SUMIF('1.2 FY2017'!$B:$B, '2.1 Database'!B40, '1.2 FY2017'!$F:$F)</f>
        <v>-23069.654999999999</v>
      </c>
      <c r="H40" s="5">
        <f>-SUMIF('1.3 FY2018'!$B:$B, '2.1 Database'!B40, '1.3 FY2018'!$F:$F)</f>
        <v>-4194.2999999999993</v>
      </c>
      <c r="I40" s="2" t="s">
        <v>225</v>
      </c>
      <c r="L40" s="5">
        <f>COUNTIF('2.2 P&amp;L statement'!$B$4:$B$24,'2.1 Database'!I40)</f>
        <v>1</v>
      </c>
    </row>
    <row r="41" spans="2:12" x14ac:dyDescent="0.2">
      <c r="B41" s="5" t="s">
        <v>151</v>
      </c>
      <c r="C41" s="5" t="str">
        <f>VLOOKUP($B41,'1.1 FY2016'!$B$5:$E$61,2,FALSE)</f>
        <v>Legal expenses</v>
      </c>
      <c r="D41" s="5">
        <f>VLOOKUP($B41,'1.1 FY2016'!$B$5:$E$61,3,FALSE)</f>
        <v>111111</v>
      </c>
      <c r="E41" s="5" t="str">
        <f>VLOOKUP($B41,'1.1 FY2016'!$B$5:$E$61,4,FALSE)</f>
        <v>External</v>
      </c>
      <c r="F41" s="5">
        <f>-SUMIF('1.1 FY2016'!$B:$B, '2.1 Database'!B41,'1.1 FY2016'!$F:$F)</f>
        <v>-43868.975999999995</v>
      </c>
      <c r="G41" s="5">
        <f>-SUMIF('1.2 FY2017'!$B:$B, '2.1 Database'!B41, '1.2 FY2017'!$F:$F)</f>
        <v>-208366.935</v>
      </c>
      <c r="H41" s="5">
        <f>-SUMIF('1.3 FY2018'!$B:$B, '2.1 Database'!B41, '1.3 FY2018'!$F:$F)</f>
        <v>-106525.708</v>
      </c>
      <c r="I41" s="2" t="s">
        <v>225</v>
      </c>
      <c r="L41" s="5">
        <f>COUNTIF('2.2 P&amp;L statement'!$B$4:$B$24,'2.1 Database'!I41)</f>
        <v>1</v>
      </c>
    </row>
    <row r="42" spans="2:12" x14ac:dyDescent="0.2">
      <c r="B42" s="5" t="s">
        <v>152</v>
      </c>
      <c r="C42" s="5" t="str">
        <f>VLOOKUP($B42,'1.1 FY2016'!$B$5:$E$61,2,FALSE)</f>
        <v>Misc costs</v>
      </c>
      <c r="D42" s="5">
        <f>VLOOKUP($B42,'1.1 FY2016'!$B$5:$E$61,3,FALSE)</f>
        <v>111101</v>
      </c>
      <c r="E42" s="5" t="str">
        <f>VLOOKUP($B42,'1.1 FY2016'!$B$5:$E$61,4,FALSE)</f>
        <v>Not assigned</v>
      </c>
      <c r="F42" s="5">
        <f>-SUMIF('1.1 FY2016'!$B:$B, '2.1 Database'!B42,'1.1 FY2016'!$F:$F)</f>
        <v>-10934.671999999999</v>
      </c>
      <c r="G42" s="5">
        <f>-SUMIF('1.2 FY2017'!$B:$B, '2.1 Database'!B42, '1.2 FY2017'!$F:$F)</f>
        <v>-20323.309999999998</v>
      </c>
      <c r="H42" s="5">
        <f>-SUMIF('1.3 FY2018'!$B:$B, '2.1 Database'!B42, '1.3 FY2018'!$F:$F)</f>
        <v>-109811.284</v>
      </c>
      <c r="I42" s="2" t="s">
        <v>225</v>
      </c>
      <c r="L42" s="5">
        <f>COUNTIF('2.2 P&amp;L statement'!$B$4:$B$24,'2.1 Database'!I42)</f>
        <v>1</v>
      </c>
    </row>
    <row r="43" spans="2:12" x14ac:dyDescent="0.2">
      <c r="B43" s="5" t="s">
        <v>153</v>
      </c>
      <c r="C43" s="5" t="str">
        <f>VLOOKUP($B43,'1.1 FY2016'!$B$5:$E$61,2,FALSE)</f>
        <v>Consulting fees</v>
      </c>
      <c r="D43" s="5">
        <f>VLOOKUP($B43,'1.1 FY2016'!$B$5:$E$61,3,FALSE)</f>
        <v>111111</v>
      </c>
      <c r="E43" s="5" t="str">
        <f>VLOOKUP($B43,'1.1 FY2016'!$B$5:$E$61,4,FALSE)</f>
        <v>External</v>
      </c>
      <c r="F43" s="5">
        <f>-SUMIF('1.1 FY2016'!$B:$B, '2.1 Database'!B43,'1.1 FY2016'!$F:$F)</f>
        <v>-20400</v>
      </c>
      <c r="G43" s="5">
        <f>-SUMIF('1.2 FY2017'!$B:$B, '2.1 Database'!B43, '1.2 FY2017'!$F:$F)</f>
        <v>-169489</v>
      </c>
      <c r="H43" s="5">
        <f>-SUMIF('1.3 FY2018'!$B:$B, '2.1 Database'!B43, '1.3 FY2018'!$F:$F)</f>
        <v>-61111.483999999997</v>
      </c>
      <c r="I43" s="2" t="s">
        <v>225</v>
      </c>
      <c r="L43" s="5">
        <f>COUNTIF('2.2 P&amp;L statement'!$B$4:$B$24,'2.1 Database'!I43)</f>
        <v>1</v>
      </c>
    </row>
    <row r="44" spans="2:12" x14ac:dyDescent="0.2">
      <c r="B44" s="5" t="s">
        <v>154</v>
      </c>
      <c r="C44" s="5" t="str">
        <f>VLOOKUP($B44,'1.1 FY2016'!$B$5:$E$61,2,FALSE)</f>
        <v>Misc extraordinary expenses</v>
      </c>
      <c r="D44" s="5">
        <f>VLOOKUP($B44,'1.1 FY2016'!$B$5:$E$61,3,FALSE)</f>
        <v>105</v>
      </c>
      <c r="E44" s="5" t="str">
        <f>VLOOKUP($B44,'1.1 FY2016'!$B$5:$E$61,4,FALSE)</f>
        <v>Generco Healthcare Ltd</v>
      </c>
      <c r="F44" s="5">
        <f>-SUMIF('1.1 FY2016'!$B:$B, '2.1 Database'!B44,'1.1 FY2016'!$F:$F)</f>
        <v>0</v>
      </c>
      <c r="G44" s="5">
        <f>-SUMIF('1.2 FY2017'!$B:$B, '2.1 Database'!B44, '1.2 FY2017'!$F:$F)</f>
        <v>0</v>
      </c>
      <c r="H44" s="5">
        <f>-SUMIF('1.3 FY2018'!$B:$B, '2.1 Database'!B44, '1.3 FY2018'!$F:$F)</f>
        <v>-1684415.2999999998</v>
      </c>
      <c r="I44" s="2" t="s">
        <v>225</v>
      </c>
      <c r="L44" s="5">
        <f>COUNTIF('2.2 P&amp;L statement'!$B$4:$B$24,'2.1 Database'!I44)</f>
        <v>1</v>
      </c>
    </row>
    <row r="45" spans="2:12" x14ac:dyDescent="0.2">
      <c r="B45" s="5" t="s">
        <v>155</v>
      </c>
      <c r="C45" s="5" t="str">
        <f>VLOOKUP($B45,'1.1 FY2016'!$B$5:$E$61,2,FALSE)</f>
        <v>Misc extraordinary expenses</v>
      </c>
      <c r="D45" s="5">
        <f>VLOOKUP($B45,'1.1 FY2016'!$B$5:$E$61,3,FALSE)</f>
        <v>111111</v>
      </c>
      <c r="E45" s="5" t="str">
        <f>VLOOKUP($B45,'1.1 FY2016'!$B$5:$E$61,4,FALSE)</f>
        <v>External</v>
      </c>
      <c r="F45" s="5">
        <f>-SUMIF('1.1 FY2016'!$B:$B, '2.1 Database'!B45,'1.1 FY2016'!$F:$F)</f>
        <v>-563918.152</v>
      </c>
      <c r="G45" s="5">
        <f>-SUMIF('1.2 FY2017'!$B:$B, '2.1 Database'!B45, '1.2 FY2017'!$F:$F)</f>
        <v>-638869.13</v>
      </c>
      <c r="H45" s="5">
        <f>-SUMIF('1.3 FY2018'!$B:$B, '2.1 Database'!B45, '1.3 FY2018'!$F:$F)</f>
        <v>-575626.2649999999</v>
      </c>
      <c r="I45" s="2" t="s">
        <v>225</v>
      </c>
      <c r="L45" s="5">
        <f>COUNTIF('2.2 P&amp;L statement'!$B$4:$B$24,'2.1 Database'!I45)</f>
        <v>1</v>
      </c>
    </row>
    <row r="46" spans="2:12" x14ac:dyDescent="0.2">
      <c r="B46" s="5" t="s">
        <v>156</v>
      </c>
      <c r="C46" s="5" t="str">
        <f>VLOOKUP($B46,'1.1 FY2016'!$B$5:$E$61,2,FALSE)</f>
        <v>Difference from eliminations</v>
      </c>
      <c r="D46" s="5">
        <f>VLOOKUP($B46,'1.1 FY2016'!$B$5:$E$61,3,FALSE)</f>
        <v>1009</v>
      </c>
      <c r="E46" s="5" t="str">
        <f>VLOOKUP($B46,'1.1 FY2016'!$B$5:$E$61,4,FALSE)</f>
        <v>Green Ventures Ltd</v>
      </c>
      <c r="F46" s="5">
        <f>-SUMIF('1.1 FY2016'!$B:$B, '2.1 Database'!B46,'1.1 FY2016'!$F:$F)</f>
        <v>0</v>
      </c>
      <c r="G46" s="5">
        <f>-SUMIF('1.2 FY2017'!$B:$B, '2.1 Database'!B46, '1.2 FY2017'!$F:$F)</f>
        <v>0</v>
      </c>
      <c r="H46" s="5">
        <f>-SUMIF('1.3 FY2018'!$B:$B, '2.1 Database'!B46, '1.3 FY2018'!$F:$F)</f>
        <v>0</v>
      </c>
      <c r="L46" s="5">
        <f>COUNTIF('2.2 P&amp;L statement'!$B$4:$B$24,'2.1 Database'!I46)</f>
        <v>0</v>
      </c>
    </row>
    <row r="47" spans="2:12" x14ac:dyDescent="0.2">
      <c r="B47" s="5" t="s">
        <v>157</v>
      </c>
      <c r="C47" s="5" t="str">
        <f>VLOOKUP($B47,'1.1 FY2016'!$B$5:$E$61,2,FALSE)</f>
        <v>Difference from eliminations</v>
      </c>
      <c r="D47" s="5">
        <f>VLOOKUP($B47,'1.1 FY2016'!$B$5:$E$61,3,FALSE)</f>
        <v>1007</v>
      </c>
      <c r="E47" s="5" t="str">
        <f>VLOOKUP($B47,'1.1 FY2016'!$B$5:$E$61,4,FALSE)</f>
        <v>Generco Sunshine JSC</v>
      </c>
      <c r="F47" s="5">
        <f>-SUMIF('1.1 FY2016'!$B:$B, '2.1 Database'!B47,'1.1 FY2016'!$F:$F)</f>
        <v>0</v>
      </c>
      <c r="G47" s="5">
        <f>-SUMIF('1.2 FY2017'!$B:$B, '2.1 Database'!B47, '1.2 FY2017'!$F:$F)</f>
        <v>0</v>
      </c>
      <c r="H47" s="5">
        <f>-SUMIF('1.3 FY2018'!$B:$B, '2.1 Database'!B47, '1.3 FY2018'!$F:$F)</f>
        <v>0</v>
      </c>
      <c r="L47" s="5">
        <f>COUNTIF('2.2 P&amp;L statement'!$B$4:$B$24,'2.1 Database'!I47)</f>
        <v>0</v>
      </c>
    </row>
    <row r="48" spans="2:12" x14ac:dyDescent="0.2">
      <c r="B48" s="5" t="s">
        <v>158</v>
      </c>
      <c r="C48" s="5" t="str">
        <f>VLOOKUP($B48,'1.1 FY2016'!$B$5:$E$61,2,FALSE)</f>
        <v>Difference from eliminations</v>
      </c>
      <c r="D48" s="5">
        <f>VLOOKUP($B48,'1.1 FY2016'!$B$5:$E$61,3,FALSE)</f>
        <v>1008</v>
      </c>
      <c r="E48" s="5" t="str">
        <f>VLOOKUP($B48,'1.1 FY2016'!$B$5:$E$61,4,FALSE)</f>
        <v>Greenco Ltd</v>
      </c>
      <c r="F48" s="5">
        <f>-SUMIF('1.1 FY2016'!$B:$B, '2.1 Database'!B48,'1.1 FY2016'!$F:$F)</f>
        <v>0</v>
      </c>
      <c r="G48" s="5">
        <f>-SUMIF('1.2 FY2017'!$B:$B, '2.1 Database'!B48, '1.2 FY2017'!$F:$F)</f>
        <v>0</v>
      </c>
      <c r="H48" s="5">
        <f>-SUMIF('1.3 FY2018'!$B:$B, '2.1 Database'!B48, '1.3 FY2018'!$F:$F)</f>
        <v>0</v>
      </c>
      <c r="L48" s="5">
        <f>COUNTIF('2.2 P&amp;L statement'!$B$4:$B$24,'2.1 Database'!I48)</f>
        <v>0</v>
      </c>
    </row>
    <row r="49" spans="2:12" x14ac:dyDescent="0.2">
      <c r="B49" s="5" t="s">
        <v>159</v>
      </c>
      <c r="C49" s="5" t="str">
        <f>VLOOKUP($B49,'1.1 FY2016'!$B$5:$E$61,2,FALSE)</f>
        <v>Interest income</v>
      </c>
      <c r="D49" s="5">
        <f>VLOOKUP($B49,'1.1 FY2016'!$B$5:$E$61,3,FALSE)</f>
        <v>1009</v>
      </c>
      <c r="E49" s="5" t="str">
        <f>VLOOKUP($B49,'1.1 FY2016'!$B$5:$E$61,4,FALSE)</f>
        <v>Green Ventures Ltd</v>
      </c>
      <c r="F49" s="5">
        <f>-SUMIF('1.1 FY2016'!$B:$B, '2.1 Database'!B49,'1.1 FY2016'!$F:$F)</f>
        <v>0</v>
      </c>
      <c r="G49" s="5">
        <f>-SUMIF('1.2 FY2017'!$B:$B, '2.1 Database'!B49, '1.2 FY2017'!$F:$F)</f>
        <v>0</v>
      </c>
      <c r="H49" s="5">
        <f>-SUMIF('1.3 FY2018'!$B:$B, '2.1 Database'!B49, '1.3 FY2018'!$F:$F)</f>
        <v>0</v>
      </c>
      <c r="I49" s="2" t="s">
        <v>231</v>
      </c>
      <c r="L49" s="5">
        <f>COUNTIF('2.2 P&amp;L statement'!$B$4:$B$24,'2.1 Database'!I49)</f>
        <v>1</v>
      </c>
    </row>
    <row r="50" spans="2:12" x14ac:dyDescent="0.2">
      <c r="B50" s="5" t="s">
        <v>160</v>
      </c>
      <c r="C50" s="5" t="str">
        <f>VLOOKUP($B50,'1.1 FY2016'!$B$5:$E$61,2,FALSE)</f>
        <v>Interest income</v>
      </c>
      <c r="D50" s="5">
        <f>VLOOKUP($B50,'1.1 FY2016'!$B$5:$E$61,3,FALSE)</f>
        <v>1007</v>
      </c>
      <c r="E50" s="5" t="str">
        <f>VLOOKUP($B50,'1.1 FY2016'!$B$5:$E$61,4,FALSE)</f>
        <v>Generco Sunshine JSC</v>
      </c>
      <c r="F50" s="5">
        <f>-SUMIF('1.1 FY2016'!$B:$B, '2.1 Database'!B50,'1.1 FY2016'!$F:$F)</f>
        <v>0</v>
      </c>
      <c r="G50" s="5">
        <f>-SUMIF('1.2 FY2017'!$B:$B, '2.1 Database'!B50, '1.2 FY2017'!$F:$F)</f>
        <v>0</v>
      </c>
      <c r="H50" s="5">
        <f>-SUMIF('1.3 FY2018'!$B:$B, '2.1 Database'!B50, '1.3 FY2018'!$F:$F)</f>
        <v>0</v>
      </c>
      <c r="I50" s="2" t="s">
        <v>231</v>
      </c>
      <c r="L50" s="5">
        <f>COUNTIF('2.2 P&amp;L statement'!$B$4:$B$24,'2.1 Database'!I50)</f>
        <v>1</v>
      </c>
    </row>
    <row r="51" spans="2:12" x14ac:dyDescent="0.2">
      <c r="B51" s="5" t="s">
        <v>161</v>
      </c>
      <c r="C51" s="5" t="str">
        <f>VLOOKUP($B51,'1.1 FY2016'!$B$5:$E$61,2,FALSE)</f>
        <v>Interest income</v>
      </c>
      <c r="D51" s="5">
        <f>VLOOKUP($B51,'1.1 FY2016'!$B$5:$E$61,3,FALSE)</f>
        <v>1008</v>
      </c>
      <c r="E51" s="5" t="str">
        <f>VLOOKUP($B51,'1.1 FY2016'!$B$5:$E$61,4,FALSE)</f>
        <v>Greenco Ltd</v>
      </c>
      <c r="F51" s="5">
        <f>-SUMIF('1.1 FY2016'!$B:$B, '2.1 Database'!B51,'1.1 FY2016'!$F:$F)</f>
        <v>0</v>
      </c>
      <c r="G51" s="5">
        <f>-SUMIF('1.2 FY2017'!$B:$B, '2.1 Database'!B51, '1.2 FY2017'!$F:$F)</f>
        <v>0</v>
      </c>
      <c r="H51" s="5">
        <f>-SUMIF('1.3 FY2018'!$B:$B, '2.1 Database'!B51, '1.3 FY2018'!$F:$F)</f>
        <v>0</v>
      </c>
      <c r="I51" s="2" t="s">
        <v>231</v>
      </c>
      <c r="L51" s="5">
        <f>COUNTIF('2.2 P&amp;L statement'!$B$4:$B$24,'2.1 Database'!I51)</f>
        <v>1</v>
      </c>
    </row>
    <row r="52" spans="2:12" x14ac:dyDescent="0.2">
      <c r="B52" s="5" t="s">
        <v>162</v>
      </c>
      <c r="C52" s="5" t="str">
        <f>VLOOKUP($B52,'1.1 FY2016'!$B$5:$E$61,2,FALSE)</f>
        <v>Interest income</v>
      </c>
      <c r="D52" s="5">
        <f>VLOOKUP($B52,'1.1 FY2016'!$B$5:$E$61,3,FALSE)</f>
        <v>1240</v>
      </c>
      <c r="E52" s="5" t="str">
        <f>VLOOKUP($B52,'1.1 FY2016'!$B$5:$E$61,4,FALSE)</f>
        <v xml:space="preserve">Generco UK </v>
      </c>
      <c r="F52" s="5">
        <f>-SUMIF('1.1 FY2016'!$B:$B, '2.1 Database'!B52,'1.1 FY2016'!$F:$F)</f>
        <v>35810.228000000003</v>
      </c>
      <c r="G52" s="5">
        <f>-SUMIF('1.2 FY2017'!$B:$B, '2.1 Database'!B52, '1.2 FY2017'!$F:$F)</f>
        <v>34224.959999999999</v>
      </c>
      <c r="H52" s="5">
        <f>-SUMIF('1.3 FY2018'!$B:$B, '2.1 Database'!B52, '1.3 FY2018'!$F:$F)</f>
        <v>0</v>
      </c>
      <c r="I52" s="2" t="s">
        <v>231</v>
      </c>
      <c r="L52" s="5">
        <f>COUNTIF('2.2 P&amp;L statement'!$B$4:$B$24,'2.1 Database'!I52)</f>
        <v>1</v>
      </c>
    </row>
    <row r="53" spans="2:12" x14ac:dyDescent="0.2">
      <c r="B53" s="5" t="s">
        <v>163</v>
      </c>
      <c r="C53" s="5" t="str">
        <f>VLOOKUP($B53,'1.1 FY2016'!$B$5:$E$61,2,FALSE)</f>
        <v>Interest income</v>
      </c>
      <c r="D53" s="5">
        <f>VLOOKUP($B53,'1.1 FY2016'!$B$5:$E$61,3,FALSE)</f>
        <v>111111</v>
      </c>
      <c r="E53" s="5" t="str">
        <f>VLOOKUP($B53,'1.1 FY2016'!$B$5:$E$61,4,FALSE)</f>
        <v>External</v>
      </c>
      <c r="F53" s="5">
        <f>-SUMIF('1.1 FY2016'!$B:$B, '2.1 Database'!B53,'1.1 FY2016'!$F:$F)</f>
        <v>51927.417999999998</v>
      </c>
      <c r="G53" s="5">
        <f>-SUMIF('1.2 FY2017'!$B:$B, '2.1 Database'!B53, '1.2 FY2017'!$F:$F)</f>
        <v>2204.7199999999998</v>
      </c>
      <c r="H53" s="5">
        <f>-SUMIF('1.3 FY2018'!$B:$B, '2.1 Database'!B53, '1.3 FY2018'!$F:$F)</f>
        <v>73809.511999999988</v>
      </c>
      <c r="I53" s="2" t="s">
        <v>231</v>
      </c>
      <c r="L53" s="5">
        <f>COUNTIF('2.2 P&amp;L statement'!$B$4:$B$24,'2.1 Database'!I53)</f>
        <v>1</v>
      </c>
    </row>
    <row r="54" spans="2:12" x14ac:dyDescent="0.2">
      <c r="B54" s="5" t="s">
        <v>164</v>
      </c>
      <c r="C54" s="5" t="str">
        <f>VLOOKUP($B54,'1.1 FY2016'!$B$5:$E$61,2,FALSE)</f>
        <v>Capitalized interest</v>
      </c>
      <c r="D54" s="5">
        <f>VLOOKUP($B54,'1.1 FY2016'!$B$5:$E$61,3,FALSE)</f>
        <v>111101</v>
      </c>
      <c r="E54" s="5" t="str">
        <f>VLOOKUP($B54,'1.1 FY2016'!$B$5:$E$61,4,FALSE)</f>
        <v>Not assigned</v>
      </c>
      <c r="F54" s="5">
        <f>-SUMIF('1.1 FY2016'!$B:$B, '2.1 Database'!B54,'1.1 FY2016'!$F:$F)</f>
        <v>862270.63399999996</v>
      </c>
      <c r="G54" s="5">
        <f>-SUMIF('1.2 FY2017'!$B:$B, '2.1 Database'!B54, '1.2 FY2017'!$F:$F)</f>
        <v>0</v>
      </c>
      <c r="H54" s="5">
        <f>-SUMIF('1.3 FY2018'!$B:$B, '2.1 Database'!B54, '1.3 FY2018'!$F:$F)</f>
        <v>0</v>
      </c>
      <c r="I54" s="2" t="s">
        <v>67</v>
      </c>
      <c r="L54" s="5">
        <f>COUNTIF('2.2 P&amp;L statement'!$B$4:$B$24,'2.1 Database'!I54)</f>
        <v>1</v>
      </c>
    </row>
    <row r="55" spans="2:12" x14ac:dyDescent="0.2">
      <c r="B55" s="5" t="s">
        <v>165</v>
      </c>
      <c r="C55" s="5" t="str">
        <f>VLOOKUP($B55,'1.1 FY2016'!$B$5:$E$61,2,FALSE)</f>
        <v>Non-recurring costs</v>
      </c>
      <c r="D55" s="5">
        <f>VLOOKUP($B55,'1.1 FY2016'!$B$5:$E$61,3,FALSE)</f>
        <v>111101</v>
      </c>
      <c r="E55" s="5" t="str">
        <f>VLOOKUP($B55,'1.1 FY2016'!$B$5:$E$61,4,FALSE)</f>
        <v>Not assigned</v>
      </c>
      <c r="F55" s="5">
        <f>-SUMIF('1.1 FY2016'!$B:$B, '2.1 Database'!B55,'1.1 FY2016'!$F:$F)</f>
        <v>-22763</v>
      </c>
      <c r="G55" s="5">
        <f>-SUMIF('1.2 FY2017'!$B:$B, '2.1 Database'!B55, '1.2 FY2017'!$F:$F)</f>
        <v>-80617.179999999993</v>
      </c>
      <c r="H55" s="5">
        <f>-SUMIF('1.3 FY2018'!$B:$B, '2.1 Database'!B55, '1.3 FY2018'!$F:$F)</f>
        <v>-7173.195999999999</v>
      </c>
      <c r="I55" s="2" t="s">
        <v>232</v>
      </c>
      <c r="L55" s="5">
        <f>COUNTIF('2.2 P&amp;L statement'!$B$4:$B$24,'2.1 Database'!I55)</f>
        <v>1</v>
      </c>
    </row>
    <row r="56" spans="2:12" x14ac:dyDescent="0.2">
      <c r="B56" s="5" t="s">
        <v>166</v>
      </c>
      <c r="C56" s="5" t="str">
        <f>VLOOKUP($B56,'1.1 FY2016'!$B$5:$E$61,2,FALSE)</f>
        <v>Interest expenses</v>
      </c>
      <c r="D56" s="5">
        <f>VLOOKUP($B56,'1.1 FY2016'!$B$5:$E$61,3,FALSE)</f>
        <v>88</v>
      </c>
      <c r="E56" s="5" t="str">
        <f>VLOOKUP($B56,'1.1 FY2016'!$B$5:$E$61,4,FALSE)</f>
        <v>Generco Ltd</v>
      </c>
      <c r="F56" s="5">
        <f>-SUMIF('1.1 FY2016'!$B:$B, '2.1 Database'!B56,'1.1 FY2016'!$F:$F)</f>
        <v>-2930430.0120000001</v>
      </c>
      <c r="G56" s="5">
        <f>-SUMIF('1.2 FY2017'!$B:$B, '2.1 Database'!B56, '1.2 FY2017'!$F:$F)</f>
        <v>-2752704.22</v>
      </c>
      <c r="H56" s="5">
        <f>-SUMIF('1.3 FY2018'!$B:$B, '2.1 Database'!B56, '1.3 FY2018'!$F:$F)</f>
        <v>-2324465.8859999999</v>
      </c>
      <c r="I56" s="2" t="s">
        <v>231</v>
      </c>
      <c r="L56" s="5">
        <f>COUNTIF('2.2 P&amp;L statement'!$B$4:$B$24,'2.1 Database'!I56)</f>
        <v>1</v>
      </c>
    </row>
    <row r="57" spans="2:12" x14ac:dyDescent="0.2">
      <c r="B57" s="5" t="s">
        <v>167</v>
      </c>
      <c r="C57" s="5" t="str">
        <f>VLOOKUP($B57,'1.1 FY2016'!$B$5:$E$61,2,FALSE)</f>
        <v>Current taxes</v>
      </c>
      <c r="D57" s="5">
        <f>VLOOKUP($B57,'1.1 FY2016'!$B$5:$E$61,3,FALSE)</f>
        <v>111101</v>
      </c>
      <c r="E57" s="5" t="str">
        <f>VLOOKUP($B57,'1.1 FY2016'!$B$5:$E$61,4,FALSE)</f>
        <v>Not assigned</v>
      </c>
      <c r="F57" s="5">
        <f>-SUMIF('1.1 FY2016'!$B:$B, '2.1 Database'!B57,'1.1 FY2016'!$F:$F)</f>
        <v>49378.641999999993</v>
      </c>
      <c r="G57" s="5">
        <f>-SUMIF('1.2 FY2017'!$B:$B, '2.1 Database'!B57, '1.2 FY2017'!$F:$F)</f>
        <v>-496748.70000000007</v>
      </c>
      <c r="H57" s="5">
        <f>-SUMIF('1.3 FY2018'!$B:$B, '2.1 Database'!B57, '1.3 FY2018'!$F:$F)</f>
        <v>-2558.1950000000002</v>
      </c>
      <c r="I57" s="2" t="s">
        <v>233</v>
      </c>
      <c r="L57" s="5">
        <f>COUNTIF('2.2 P&amp;L statement'!$B$4:$B$24,'2.1 Database'!I57)</f>
        <v>1</v>
      </c>
    </row>
    <row r="58" spans="2:12" x14ac:dyDescent="0.2">
      <c r="B58" s="5" t="s">
        <v>168</v>
      </c>
      <c r="C58" s="5" t="str">
        <f>VLOOKUP($B58,'1.1 FY2016'!$B$5:$E$61,2,FALSE)</f>
        <v>Regional taxes</v>
      </c>
      <c r="D58" s="5">
        <f>VLOOKUP($B58,'1.1 FY2016'!$B$5:$E$61,3,FALSE)</f>
        <v>111101</v>
      </c>
      <c r="E58" s="5" t="str">
        <f>VLOOKUP($B58,'1.1 FY2016'!$B$5:$E$61,4,FALSE)</f>
        <v>Not assigned</v>
      </c>
      <c r="F58" s="5">
        <f>-SUMIF('1.1 FY2016'!$B:$B, '2.1 Database'!B58,'1.1 FY2016'!$F:$F)</f>
        <v>-516250.67</v>
      </c>
      <c r="G58" s="5">
        <f>-SUMIF('1.2 FY2017'!$B:$B, '2.1 Database'!B58, '1.2 FY2017'!$F:$F)</f>
        <v>-480872.96000000002</v>
      </c>
      <c r="H58" s="5">
        <f>-SUMIF('1.3 FY2018'!$B:$B, '2.1 Database'!B58, '1.3 FY2018'!$F:$F)</f>
        <v>-522710.353</v>
      </c>
      <c r="I58" s="2" t="s">
        <v>233</v>
      </c>
      <c r="L58" s="5">
        <f>COUNTIF('2.2 P&amp;L statement'!$B$4:$B$24,'2.1 Database'!I58)</f>
        <v>1</v>
      </c>
    </row>
    <row r="59" spans="2:12" x14ac:dyDescent="0.2">
      <c r="B59" s="5" t="s">
        <v>169</v>
      </c>
      <c r="C59" s="5" t="str">
        <f>VLOOKUP($B59,'1.1 FY2016'!$B$5:$E$61,2,FALSE)</f>
        <v>Deferred taxes</v>
      </c>
      <c r="D59" s="5">
        <f>VLOOKUP($B59,'1.1 FY2016'!$B$5:$E$61,3,FALSE)</f>
        <v>111101</v>
      </c>
      <c r="E59" s="5" t="str">
        <f>VLOOKUP($B59,'1.1 FY2016'!$B$5:$E$61,4,FALSE)</f>
        <v>Not assigned</v>
      </c>
      <c r="F59" s="5">
        <f>-SUMIF('1.1 FY2016'!$B:$B, '2.1 Database'!B59,'1.1 FY2016'!$F:$F)</f>
        <v>-21593.093999999997</v>
      </c>
      <c r="G59" s="5">
        <f>-SUMIF('1.2 FY2017'!$B:$B, '2.1 Database'!B59, '1.2 FY2017'!$F:$F)</f>
        <v>-6570.3050000000003</v>
      </c>
      <c r="H59" s="5">
        <f>-SUMIF('1.3 FY2018'!$B:$B, '2.1 Database'!B59, '1.3 FY2018'!$F:$F)</f>
        <v>160303.52199999997</v>
      </c>
      <c r="I59" s="2" t="s">
        <v>233</v>
      </c>
      <c r="L59" s="5">
        <f>COUNTIF('2.2 P&amp;L statement'!$B$4:$B$24,'2.1 Database'!I59)</f>
        <v>1</v>
      </c>
    </row>
    <row r="60" spans="2:12" x14ac:dyDescent="0.2">
      <c r="B60" s="5" t="s">
        <v>170</v>
      </c>
      <c r="C60" s="5" t="str">
        <f>VLOOKUP($B60,'1.1 FY2016'!$B$5:$E$61,2,FALSE)</f>
        <v>Net income/(loss)</v>
      </c>
      <c r="D60" s="5">
        <f>VLOOKUP($B60,'1.1 FY2016'!$B$5:$E$61,3,FALSE)</f>
        <v>111101</v>
      </c>
      <c r="E60" s="5" t="str">
        <f>VLOOKUP($B60,'1.1 FY2016'!$B$5:$E$61,4,FALSE)</f>
        <v>Not assigned</v>
      </c>
      <c r="F60" s="5">
        <f>SUMIF('1.1 FY2016'!$B:$B, '2.1 Database'!B60,'1.1 FY2016'!$F:$F)</f>
        <v>-2904117.9939999986</v>
      </c>
      <c r="G60" s="5">
        <f>SUMIF('1.2 FY2017'!$B:$B, '2.1 Database'!B60, '1.2 FY2017'!$F:$F)</f>
        <v>0</v>
      </c>
      <c r="H60" s="5">
        <f>SUMIF('1.3 FY2018'!$B:$B, '2.1 Database'!B60, '1.3 FY2018'!$F:$F)</f>
        <v>0</v>
      </c>
      <c r="I60" s="2" t="s">
        <v>234</v>
      </c>
      <c r="L60" s="5">
        <f>COUNTIF('2.2 P&amp;L statement'!$B$4:$B$24,'2.1 Database'!I60)</f>
        <v>1</v>
      </c>
    </row>
    <row r="61" spans="2:12" x14ac:dyDescent="0.2">
      <c r="B61" s="5" t="s">
        <v>171</v>
      </c>
      <c r="C61" s="5" t="str">
        <f>VLOOKUP($B61, '1.2 FY2017'!$B$5:$E$86,2,FALSE)</f>
        <v>Core business revenues</v>
      </c>
      <c r="D61" s="5">
        <f>VLOOKUP($B61, '1.2 FY2017'!$B$5:$E$86,3,FALSE)</f>
        <v>105</v>
      </c>
      <c r="E61" s="5" t="str">
        <f>VLOOKUP($B61, '1.2 FY2017'!$B$5:$E$86,4,FALSE)</f>
        <v>Generco Healthcare Ltd</v>
      </c>
      <c r="F61" s="5">
        <f>-SUMIF('1.1 FY2016'!$B:$B, '2.1 Database'!B61,'1.1 FY2016'!$F:$F)</f>
        <v>0</v>
      </c>
      <c r="G61" s="5">
        <f>-SUMIF('1.2 FY2017'!$B:$B, '2.1 Database'!B61, '1.2 FY2017'!$F:$F)</f>
        <v>355396.61499999999</v>
      </c>
      <c r="H61" s="5">
        <f>-SUMIF('1.3 FY2018'!$B:$B, '2.1 Database'!B61, '1.3 FY2018'!$F:$F)</f>
        <v>616462.01899999997</v>
      </c>
      <c r="I61" s="2" t="s">
        <v>235</v>
      </c>
      <c r="L61" s="5">
        <f>COUNTIF('2.2 P&amp;L statement'!$B$4:$B$24,'2.1 Database'!I61)</f>
        <v>1</v>
      </c>
    </row>
    <row r="62" spans="2:12" x14ac:dyDescent="0.2">
      <c r="B62" s="5" t="s">
        <v>202</v>
      </c>
      <c r="C62" s="5" t="str">
        <f>VLOOKUP($B62, '1.2 FY2017'!$B$5:$E$86,2,FALSE)</f>
        <v>Capitalized costs</v>
      </c>
      <c r="D62" s="5" t="str">
        <f>VLOOKUP($B62, '1.2 FY2017'!$B$5:$E$86,3,FALSE)</f>
        <v>1086</v>
      </c>
      <c r="E62" s="5" t="str">
        <f>VLOOKUP($B62, '1.2 FY2017'!$B$5:$E$86,4,FALSE)</f>
        <v>G&amp;Resources Ltd</v>
      </c>
      <c r="F62" s="5">
        <f>-SUMIF('1.1 FY2016'!$B:$B, '2.1 Database'!B62,'1.1 FY2016'!$F:$F)</f>
        <v>0</v>
      </c>
      <c r="G62" s="5">
        <f>-SUMIF('1.2 FY2017'!$B:$B, '2.1 Database'!B62, '1.2 FY2017'!$F:$F)</f>
        <v>420017.14999999997</v>
      </c>
      <c r="H62" s="5">
        <f>-SUMIF('1.3 FY2018'!$B:$B, '2.1 Database'!B62, '1.3 FY2018'!$F:$F)</f>
        <v>0</v>
      </c>
      <c r="I62" s="2" t="s">
        <v>67</v>
      </c>
      <c r="L62" s="5">
        <f>COUNTIF('2.2 P&amp;L statement'!$B$4:$B$24,'2.1 Database'!I62)</f>
        <v>1</v>
      </c>
    </row>
    <row r="63" spans="2:12" x14ac:dyDescent="0.2">
      <c r="B63" s="5" t="s">
        <v>172</v>
      </c>
      <c r="C63" s="5" t="str">
        <f>VLOOKUP($B63, '1.2 FY2017'!$B$5:$E$86,2,FALSE)</f>
        <v>Utility charges</v>
      </c>
      <c r="D63" s="5">
        <f>VLOOKUP($B63, '1.2 FY2017'!$B$5:$E$86,3,FALSE)</f>
        <v>111111</v>
      </c>
      <c r="E63" s="5" t="str">
        <f>VLOOKUP($B63, '1.2 FY2017'!$B$5:$E$86,4,FALSE)</f>
        <v>External</v>
      </c>
      <c r="F63" s="5">
        <f>-SUMIF('1.1 FY2016'!$B:$B, '2.1 Database'!B63,'1.1 FY2016'!$F:$F)</f>
        <v>0</v>
      </c>
      <c r="G63" s="5">
        <f>-SUMIF('1.2 FY2017'!$B:$B, '2.1 Database'!B63, '1.2 FY2017'!$F:$F)</f>
        <v>-14589.33</v>
      </c>
      <c r="H63" s="5">
        <f>-SUMIF('1.3 FY2018'!$B:$B, '2.1 Database'!B63, '1.3 FY2018'!$F:$F)</f>
        <v>-20504.509999999998</v>
      </c>
      <c r="I63" s="2" t="s">
        <v>225</v>
      </c>
      <c r="L63" s="5">
        <f>COUNTIF('2.2 P&amp;L statement'!$B$4:$B$24,'2.1 Database'!I63)</f>
        <v>1</v>
      </c>
    </row>
    <row r="64" spans="2:12" x14ac:dyDescent="0.2">
      <c r="B64" s="5" t="s">
        <v>203</v>
      </c>
      <c r="C64" s="5" t="str">
        <f>VLOOKUP($B64, '1.2 FY2017'!$B$5:$E$86,2,FALSE)</f>
        <v>R&amp;D expenses</v>
      </c>
      <c r="D64" s="5">
        <f>VLOOKUP($B64, '1.2 FY2017'!$B$5:$E$86,3,FALSE)</f>
        <v>19</v>
      </c>
      <c r="E64" s="5" t="str">
        <f>VLOOKUP($B64, '1.2 FY2017'!$B$5:$E$86,4,FALSE)</f>
        <v>Generco Cosmetics Ltd</v>
      </c>
      <c r="F64" s="5">
        <f>-SUMIF('1.1 FY2016'!$B:$B, '2.1 Database'!B64,'1.1 FY2016'!$F:$F)</f>
        <v>0</v>
      </c>
      <c r="G64" s="5">
        <f>-SUMIF('1.2 FY2017'!$B:$B, '2.1 Database'!B64, '1.2 FY2017'!$F:$F)</f>
        <v>-38521</v>
      </c>
      <c r="H64" s="5">
        <f>-SUMIF('1.3 FY2018'!$B:$B, '2.1 Database'!B64, '1.3 FY2018'!$F:$F)</f>
        <v>0</v>
      </c>
      <c r="I64" s="2" t="s">
        <v>225</v>
      </c>
      <c r="L64" s="5">
        <f>COUNTIF('2.2 P&amp;L statement'!$B$4:$B$24,'2.1 Database'!I64)</f>
        <v>1</v>
      </c>
    </row>
    <row r="65" spans="2:12" x14ac:dyDescent="0.2">
      <c r="B65" s="5" t="s">
        <v>174</v>
      </c>
      <c r="C65" s="5" t="str">
        <f>VLOOKUP($B65, '1.2 FY2017'!$B$5:$E$86,2,FALSE)</f>
        <v>R&amp;D expenses</v>
      </c>
      <c r="D65" s="5" t="str">
        <f>VLOOKUP($B65, '1.2 FY2017'!$B$5:$E$86,3,FALSE)</f>
        <v>1283</v>
      </c>
      <c r="E65" s="5" t="str">
        <f>VLOOKUP($B65, '1.2 FY2017'!$B$5:$E$86,4,FALSE)</f>
        <v>Generco Ventures Ltd</v>
      </c>
      <c r="F65" s="5">
        <f>-SUMIF('1.1 FY2016'!$B:$B, '2.1 Database'!B65,'1.1 FY2016'!$F:$F)</f>
        <v>0</v>
      </c>
      <c r="G65" s="5">
        <f>-SUMIF('1.2 FY2017'!$B:$B, '2.1 Database'!B65, '1.2 FY2017'!$F:$F)</f>
        <v>-1820</v>
      </c>
      <c r="H65" s="5">
        <f>-SUMIF('1.3 FY2018'!$B:$B, '2.1 Database'!B65, '1.3 FY2018'!$F:$F)</f>
        <v>0</v>
      </c>
      <c r="I65" s="2" t="s">
        <v>225</v>
      </c>
      <c r="L65" s="5">
        <f>COUNTIF('2.2 P&amp;L statement'!$B$4:$B$24,'2.1 Database'!I65)</f>
        <v>1</v>
      </c>
    </row>
    <row r="66" spans="2:12" x14ac:dyDescent="0.2">
      <c r="B66" s="5" t="s">
        <v>175</v>
      </c>
      <c r="C66" s="5" t="str">
        <f>VLOOKUP($B66, '1.2 FY2017'!$B$5:$E$86,2,FALSE)</f>
        <v>R&amp;D expenses</v>
      </c>
      <c r="D66" s="5" t="str">
        <f>VLOOKUP($B66, '1.2 FY2017'!$B$5:$E$86,3,FALSE)</f>
        <v>1924</v>
      </c>
      <c r="E66" s="5" t="str">
        <f>VLOOKUP($B66, '1.2 FY2017'!$B$5:$E$86,4,FALSE)</f>
        <v>Generco Infrastructure Ltd</v>
      </c>
      <c r="F66" s="5">
        <f>-SUMIF('1.1 FY2016'!$B:$B, '2.1 Database'!B66,'1.1 FY2016'!$F:$F)</f>
        <v>0</v>
      </c>
      <c r="G66" s="5">
        <f>-SUMIF('1.2 FY2017'!$B:$B, '2.1 Database'!B66, '1.2 FY2017'!$F:$F)</f>
        <v>-10448.129999999999</v>
      </c>
      <c r="H66" s="5">
        <f>-SUMIF('1.3 FY2018'!$B:$B, '2.1 Database'!B66, '1.3 FY2018'!$F:$F)</f>
        <v>-673.34299999999985</v>
      </c>
      <c r="I66" s="2" t="s">
        <v>225</v>
      </c>
      <c r="L66" s="5">
        <f>COUNTIF('2.2 P&amp;L statement'!$B$4:$B$24,'2.1 Database'!I66)</f>
        <v>1</v>
      </c>
    </row>
    <row r="67" spans="2:12" x14ac:dyDescent="0.2">
      <c r="B67" s="5" t="s">
        <v>204</v>
      </c>
      <c r="C67" s="5" t="str">
        <f>VLOOKUP($B67, '1.2 FY2017'!$B$5:$E$86,2,FALSE)</f>
        <v>R&amp;D expenses</v>
      </c>
      <c r="D67" s="5" t="str">
        <f>VLOOKUP($B67, '1.2 FY2017'!$B$5:$E$86,3,FALSE)</f>
        <v>2486</v>
      </c>
      <c r="E67" s="5" t="str">
        <f>VLOOKUP($B67, '1.2 FY2017'!$B$5:$E$86,4,FALSE)</f>
        <v>Generco Exloration Ltd</v>
      </c>
      <c r="F67" s="5">
        <f>-SUMIF('1.1 FY2016'!$B:$B, '2.1 Database'!B67,'1.1 FY2016'!$F:$F)</f>
        <v>0</v>
      </c>
      <c r="G67" s="5">
        <f>-SUMIF('1.2 FY2017'!$B:$B, '2.1 Database'!B67, '1.2 FY2017'!$F:$F)</f>
        <v>-10412.5</v>
      </c>
      <c r="H67" s="5">
        <f>-SUMIF('1.3 FY2018'!$B:$B, '2.1 Database'!B67, '1.3 FY2018'!$F:$F)</f>
        <v>0</v>
      </c>
      <c r="I67" s="2" t="s">
        <v>225</v>
      </c>
      <c r="L67" s="5">
        <f>COUNTIF('2.2 P&amp;L statement'!$B$4:$B$24,'2.1 Database'!I67)</f>
        <v>1</v>
      </c>
    </row>
    <row r="68" spans="2:12" x14ac:dyDescent="0.2">
      <c r="B68" s="5" t="s">
        <v>205</v>
      </c>
      <c r="C68" s="5" t="str">
        <f>VLOOKUP($B68, '1.2 FY2017'!$B$5:$E$86,2,FALSE)</f>
        <v>Other personnel expenses</v>
      </c>
      <c r="D68" s="5">
        <f>VLOOKUP($B68, '1.2 FY2017'!$B$5:$E$86,3,FALSE)</f>
        <v>111101</v>
      </c>
      <c r="E68" s="5" t="str">
        <f>VLOOKUP($B68, '1.2 FY2017'!$B$5:$E$86,4,FALSE)</f>
        <v>Not assigned</v>
      </c>
      <c r="F68" s="5">
        <f>-SUMIF('1.1 FY2016'!$B:$B, '2.1 Database'!B68,'1.1 FY2016'!$F:$F)</f>
        <v>0</v>
      </c>
      <c r="G68" s="5">
        <f>-SUMIF('1.2 FY2017'!$B:$B, '2.1 Database'!B68, '1.2 FY2017'!$F:$F)</f>
        <v>-6919.8499999999995</v>
      </c>
      <c r="H68" s="5">
        <f>-SUMIF('1.3 FY2018'!$B:$B, '2.1 Database'!B68, '1.3 FY2018'!$F:$F)</f>
        <v>0</v>
      </c>
      <c r="I68" s="2" t="s">
        <v>226</v>
      </c>
      <c r="L68" s="5">
        <f>COUNTIF('2.2 P&amp;L statement'!$B$4:$B$24,'2.1 Database'!I68)</f>
        <v>1</v>
      </c>
    </row>
    <row r="69" spans="2:12" x14ac:dyDescent="0.2">
      <c r="B69" s="5" t="s">
        <v>179</v>
      </c>
      <c r="C69" s="5" t="str">
        <f>VLOOKUP($B69, '1.2 FY2017'!$B$5:$E$86,2,FALSE)</f>
        <v>D&amp;A</v>
      </c>
      <c r="D69" s="5">
        <f>VLOOKUP($B69, '1.2 FY2017'!$B$5:$E$86,3,FALSE)</f>
        <v>111101</v>
      </c>
      <c r="E69" s="5" t="str">
        <f>VLOOKUP($B69, '1.2 FY2017'!$B$5:$E$86,4,FALSE)</f>
        <v>Not assigned</v>
      </c>
      <c r="F69" s="5">
        <f>-SUMIF('1.1 FY2016'!$B:$B, '2.1 Database'!B69,'1.1 FY2016'!$F:$F)</f>
        <v>0</v>
      </c>
      <c r="G69" s="5">
        <f>-SUMIF('1.2 FY2017'!$B:$B, '2.1 Database'!B69, '1.2 FY2017'!$F:$F)</f>
        <v>-146328.94499999998</v>
      </c>
      <c r="H69" s="5">
        <f>-SUMIF('1.3 FY2018'!$B:$B, '2.1 Database'!B69, '1.3 FY2018'!$F:$F)</f>
        <v>-12593.355</v>
      </c>
      <c r="I69" s="2" t="s">
        <v>72</v>
      </c>
      <c r="L69" s="5">
        <f>COUNTIF('2.2 P&amp;L statement'!$B$4:$B$24,'2.1 Database'!I69)</f>
        <v>1</v>
      </c>
    </row>
    <row r="70" spans="2:12" x14ac:dyDescent="0.2">
      <c r="B70" s="5" t="s">
        <v>206</v>
      </c>
      <c r="C70" s="5" t="str">
        <f>VLOOKUP($B70, '1.2 FY2017'!$B$5:$E$86,2,FALSE)</f>
        <v>Gains from disposal of PP&amp;E</v>
      </c>
      <c r="D70" s="5">
        <f>VLOOKUP($B70, '1.2 FY2017'!$B$5:$E$86,3,FALSE)</f>
        <v>111111</v>
      </c>
      <c r="E70" s="5" t="str">
        <f>VLOOKUP($B70, '1.2 FY2017'!$B$5:$E$86,4,FALSE)</f>
        <v>External</v>
      </c>
      <c r="F70" s="5">
        <f>-SUMIF('1.1 FY2016'!$B:$B, '2.1 Database'!B70,'1.1 FY2016'!$F:$F)</f>
        <v>0</v>
      </c>
      <c r="G70" s="5">
        <f>-SUMIF('1.2 FY2017'!$B:$B, '2.1 Database'!B70, '1.2 FY2017'!$F:$F)</f>
        <v>121553.07499999998</v>
      </c>
      <c r="H70" s="5">
        <f>-SUMIF('1.3 FY2018'!$B:$B, '2.1 Database'!B70, '1.3 FY2018'!$F:$F)</f>
        <v>0</v>
      </c>
      <c r="I70" s="2" t="s">
        <v>232</v>
      </c>
      <c r="L70" s="5">
        <f>COUNTIF('2.2 P&amp;L statement'!$B$4:$B$24,'2.1 Database'!I70)</f>
        <v>1</v>
      </c>
    </row>
    <row r="71" spans="2:12" x14ac:dyDescent="0.2">
      <c r="B71" s="5" t="s">
        <v>182</v>
      </c>
      <c r="C71" s="5" t="str">
        <f>VLOOKUP($B71, '1.2 FY2017'!$B$5:$E$86,2,FALSE)</f>
        <v>Corporate recharges</v>
      </c>
      <c r="D71" s="5">
        <f>VLOOKUP($B71, '1.2 FY2017'!$B$5:$E$86,3,FALSE)</f>
        <v>19</v>
      </c>
      <c r="E71" s="5" t="str">
        <f>VLOOKUP($B71, '1.2 FY2017'!$B$5:$E$86,4,FALSE)</f>
        <v>Generco Cosmetics Ltd</v>
      </c>
      <c r="F71" s="5">
        <f>-SUMIF('1.1 FY2016'!$B:$B, '2.1 Database'!B71,'1.1 FY2016'!$F:$F)</f>
        <v>0</v>
      </c>
      <c r="G71" s="5">
        <f>-SUMIF('1.2 FY2017'!$B:$B, '2.1 Database'!B71, '1.2 FY2017'!$F:$F)</f>
        <v>416278.66</v>
      </c>
      <c r="H71" s="5">
        <f>-SUMIF('1.3 FY2018'!$B:$B, '2.1 Database'!B71, '1.3 FY2018'!$F:$F)</f>
        <v>622966.38600000006</v>
      </c>
      <c r="I71" s="2" t="s">
        <v>227</v>
      </c>
      <c r="L71" s="5">
        <f>COUNTIF('2.2 P&amp;L statement'!$B$4:$B$24,'2.1 Database'!I71)</f>
        <v>1</v>
      </c>
    </row>
    <row r="72" spans="2:12" x14ac:dyDescent="0.2">
      <c r="B72" s="5" t="s">
        <v>183</v>
      </c>
      <c r="C72" s="5" t="str">
        <f>VLOOKUP($B72, '1.2 FY2017'!$B$5:$E$86,2,FALSE)</f>
        <v>Corporate recharges</v>
      </c>
      <c r="D72" s="5" t="str">
        <f>VLOOKUP($B72, '1.2 FY2017'!$B$5:$E$86,3,FALSE)</f>
        <v>1076</v>
      </c>
      <c r="E72" s="5" t="str">
        <f>VLOOKUP($B72, '1.2 FY2017'!$B$5:$E$86,4,FALSE)</f>
        <v>Generco Trading Ltd</v>
      </c>
      <c r="F72" s="5">
        <f>-SUMIF('1.1 FY2016'!$B:$B, '2.1 Database'!B72,'1.1 FY2016'!$F:$F)</f>
        <v>0</v>
      </c>
      <c r="G72" s="5">
        <f>-SUMIF('1.2 FY2017'!$B:$B, '2.1 Database'!B72, '1.2 FY2017'!$F:$F)</f>
        <v>364243.84499999997</v>
      </c>
      <c r="H72" s="5">
        <f>-SUMIF('1.3 FY2018'!$B:$B, '2.1 Database'!B72, '1.3 FY2018'!$F:$F)</f>
        <v>0</v>
      </c>
      <c r="I72" s="2" t="s">
        <v>227</v>
      </c>
      <c r="L72" s="5">
        <f>COUNTIF('2.2 P&amp;L statement'!$B$4:$B$24,'2.1 Database'!I72)</f>
        <v>1</v>
      </c>
    </row>
    <row r="73" spans="2:12" x14ac:dyDescent="0.2">
      <c r="B73" s="5" t="s">
        <v>184</v>
      </c>
      <c r="C73" s="5" t="str">
        <f>VLOOKUP($B73, '1.2 FY2017'!$B$5:$E$86,2,FALSE)</f>
        <v>Corporate recharges</v>
      </c>
      <c r="D73" s="5" t="str">
        <f>VLOOKUP($B73, '1.2 FY2017'!$B$5:$E$86,3,FALSE)</f>
        <v>1086</v>
      </c>
      <c r="E73" s="5" t="str">
        <f>VLOOKUP($B73, '1.2 FY2017'!$B$5:$E$86,4,FALSE)</f>
        <v>G&amp;Resources Ltd</v>
      </c>
      <c r="F73" s="5">
        <f>-SUMIF('1.1 FY2016'!$B:$B, '2.1 Database'!B73,'1.1 FY2016'!$F:$F)</f>
        <v>0</v>
      </c>
      <c r="G73" s="5">
        <f>-SUMIF('1.2 FY2017'!$B:$B, '2.1 Database'!B73, '1.2 FY2017'!$F:$F)</f>
        <v>0</v>
      </c>
      <c r="H73" s="5">
        <f>-SUMIF('1.3 FY2018'!$B:$B, '2.1 Database'!B73, '1.3 FY2018'!$F:$F)</f>
        <v>0</v>
      </c>
      <c r="I73" s="2" t="s">
        <v>227</v>
      </c>
      <c r="L73" s="5">
        <f>COUNTIF('2.2 P&amp;L statement'!$B$4:$B$24,'2.1 Database'!I73)</f>
        <v>1</v>
      </c>
    </row>
    <row r="74" spans="2:12" x14ac:dyDescent="0.2">
      <c r="B74" s="5" t="s">
        <v>186</v>
      </c>
      <c r="C74" s="5" t="str">
        <f>VLOOKUP($B74, '1.2 FY2017'!$B$5:$E$86,2,FALSE)</f>
        <v>Corporate recharges</v>
      </c>
      <c r="D74" s="5" t="str">
        <f>VLOOKUP($B74, '1.2 FY2017'!$B$5:$E$86,3,FALSE)</f>
        <v>47037</v>
      </c>
      <c r="E74" s="5" t="str">
        <f>VLOOKUP($B74, '1.2 FY2017'!$B$5:$E$86,4,FALSE)</f>
        <v>G&amp;CR Global Ltd</v>
      </c>
      <c r="F74" s="5">
        <f>-SUMIF('1.1 FY2016'!$B:$B, '2.1 Database'!B74,'1.1 FY2016'!$F:$F)</f>
        <v>0</v>
      </c>
      <c r="G74" s="5">
        <f>-SUMIF('1.2 FY2017'!$B:$B, '2.1 Database'!B74, '1.2 FY2017'!$F:$F)</f>
        <v>482611.04499999998</v>
      </c>
      <c r="H74" s="5">
        <f>-SUMIF('1.3 FY2018'!$B:$B, '2.1 Database'!B74, '1.3 FY2018'!$F:$F)</f>
        <v>1948832.1429999999</v>
      </c>
      <c r="I74" s="2" t="s">
        <v>227</v>
      </c>
      <c r="L74" s="5">
        <f>COUNTIF('2.2 P&amp;L statement'!$B$4:$B$24,'2.1 Database'!I74)</f>
        <v>1</v>
      </c>
    </row>
    <row r="75" spans="2:12" x14ac:dyDescent="0.2">
      <c r="B75" s="5" t="s">
        <v>207</v>
      </c>
      <c r="C75" s="5" t="str">
        <f>VLOOKUP($B75, '1.2 FY2017'!$B$5:$E$86,2,FALSE)</f>
        <v>Other income</v>
      </c>
      <c r="D75" s="5">
        <f>VLOOKUP($B75, '1.2 FY2017'!$B$5:$E$86,3,FALSE)</f>
        <v>88</v>
      </c>
      <c r="E75" s="5" t="str">
        <f>VLOOKUP($B75, '1.2 FY2017'!$B$5:$E$86,4,FALSE)</f>
        <v>Generco Ltd</v>
      </c>
      <c r="F75" s="5">
        <f>-SUMIF('1.1 FY2016'!$B:$B, '2.1 Database'!B75,'1.1 FY2016'!$F:$F)</f>
        <v>0</v>
      </c>
      <c r="G75" s="5">
        <f>-SUMIF('1.2 FY2017'!$B:$B, '2.1 Database'!B75, '1.2 FY2017'!$F:$F)</f>
        <v>2436.35</v>
      </c>
      <c r="H75" s="5">
        <f>-SUMIF('1.3 FY2018'!$B:$B, '2.1 Database'!B75, '1.3 FY2018'!$F:$F)</f>
        <v>0</v>
      </c>
      <c r="I75" s="2" t="s">
        <v>74</v>
      </c>
      <c r="L75" s="5">
        <f>COUNTIF('2.2 P&amp;L statement'!$B$4:$B$24,'2.1 Database'!I75)</f>
        <v>1</v>
      </c>
    </row>
    <row r="76" spans="2:12" x14ac:dyDescent="0.2">
      <c r="B76" s="5" t="s">
        <v>208</v>
      </c>
      <c r="C76" s="5" t="str">
        <f>VLOOKUP($B76, '1.2 FY2017'!$B$5:$E$86,2,FALSE)</f>
        <v>Concession fees other</v>
      </c>
      <c r="D76" s="5">
        <f>VLOOKUP($B76, '1.2 FY2017'!$B$5:$E$86,3,FALSE)</f>
        <v>111101</v>
      </c>
      <c r="E76" s="5" t="str">
        <f>VLOOKUP($B76, '1.2 FY2017'!$B$5:$E$86,4,FALSE)</f>
        <v>Not assigned</v>
      </c>
      <c r="F76" s="5">
        <f>-SUMIF('1.1 FY2016'!$B:$B, '2.1 Database'!B76,'1.1 FY2016'!$F:$F)</f>
        <v>0</v>
      </c>
      <c r="G76" s="5">
        <f>-SUMIF('1.2 FY2017'!$B:$B, '2.1 Database'!B76, '1.2 FY2017'!$F:$F)</f>
        <v>-81.339999999999989</v>
      </c>
      <c r="H76" s="5">
        <f>-SUMIF('1.3 FY2018'!$B:$B, '2.1 Database'!B76, '1.3 FY2018'!$F:$F)</f>
        <v>0</v>
      </c>
      <c r="I76" s="2" t="s">
        <v>225</v>
      </c>
      <c r="L76" s="5">
        <f>COUNTIF('2.2 P&amp;L statement'!$B$4:$B$24,'2.1 Database'!I76)</f>
        <v>1</v>
      </c>
    </row>
    <row r="77" spans="2:12" x14ac:dyDescent="0.2">
      <c r="B77" s="5" t="s">
        <v>190</v>
      </c>
      <c r="C77" s="5" t="str">
        <f>VLOOKUP($B77, '1.2 FY2017'!$B$5:$E$86,2,FALSE)</f>
        <v>Service expenses</v>
      </c>
      <c r="D77" s="5">
        <f>VLOOKUP($B77, '1.2 FY2017'!$B$5:$E$86,3,FALSE)</f>
        <v>105</v>
      </c>
      <c r="E77" s="5" t="str">
        <f>VLOOKUP($B77, '1.2 FY2017'!$B$5:$E$86,4,FALSE)</f>
        <v>Generco Healthcare Ltd</v>
      </c>
      <c r="F77" s="5">
        <f>-SUMIF('1.1 FY2016'!$B:$B, '2.1 Database'!B77,'1.1 FY2016'!$F:$F)</f>
        <v>0</v>
      </c>
      <c r="G77" s="5">
        <f>-SUMIF('1.2 FY2017'!$B:$B, '2.1 Database'!B77, '1.2 FY2017'!$F:$F)</f>
        <v>-276920</v>
      </c>
      <c r="H77" s="5">
        <f>-SUMIF('1.3 FY2018'!$B:$B, '2.1 Database'!B77, '1.3 FY2018'!$F:$F)</f>
        <v>-473575.46100000001</v>
      </c>
      <c r="I77" s="2" t="s">
        <v>229</v>
      </c>
      <c r="L77" s="5">
        <f>COUNTIF('2.2 P&amp;L statement'!$B$4:$B$24,'2.1 Database'!I77)</f>
        <v>1</v>
      </c>
    </row>
    <row r="78" spans="2:12" x14ac:dyDescent="0.2">
      <c r="B78" s="5" t="s">
        <v>209</v>
      </c>
      <c r="C78" s="5" t="str">
        <f>VLOOKUP($B78, '1.2 FY2017'!$B$5:$E$86,2,FALSE)</f>
        <v>Insurance expenses</v>
      </c>
      <c r="D78" s="5">
        <f>VLOOKUP($B78, '1.2 FY2017'!$B$5:$E$86,3,FALSE)</f>
        <v>1900</v>
      </c>
      <c r="E78" s="5" t="str">
        <f>VLOOKUP($B78, '1.2 FY2017'!$B$5:$E$86,4,FALSE)</f>
        <v>Generco Metals Gm</v>
      </c>
      <c r="F78" s="5">
        <f>-SUMIF('1.1 FY2016'!$B:$B, '2.1 Database'!B78,'1.1 FY2016'!$F:$F)</f>
        <v>0</v>
      </c>
      <c r="G78" s="5">
        <f>-SUMIF('1.2 FY2017'!$B:$B, '2.1 Database'!B78, '1.2 FY2017'!$F:$F)</f>
        <v>0</v>
      </c>
      <c r="H78" s="5">
        <f>-SUMIF('1.3 FY2018'!$B:$B, '2.1 Database'!B78, '1.3 FY2018'!$F:$F)</f>
        <v>0</v>
      </c>
      <c r="L78" s="5">
        <f>COUNTIF('2.2 P&amp;L statement'!$B$4:$B$24,'2.1 Database'!I78)</f>
        <v>0</v>
      </c>
    </row>
    <row r="79" spans="2:12" x14ac:dyDescent="0.2">
      <c r="B79" s="5" t="s">
        <v>210</v>
      </c>
      <c r="C79" s="5" t="str">
        <f>VLOOKUP($B79, '1.2 FY2017'!$B$5:$E$86,2,FALSE)</f>
        <v>Travel expenses</v>
      </c>
      <c r="D79" s="5" t="str">
        <f>VLOOKUP($B79, '1.2 FY2017'!$B$5:$E$86,3,FALSE)</f>
        <v>1118</v>
      </c>
      <c r="E79" s="5" t="str">
        <f>VLOOKUP($B79, '1.2 FY2017'!$B$5:$E$86,4,FALSE)</f>
        <v>Gener Green LLC</v>
      </c>
      <c r="F79" s="5">
        <f>-SUMIF('1.1 FY2016'!$B:$B, '2.1 Database'!B79,'1.1 FY2016'!$F:$F)</f>
        <v>0</v>
      </c>
      <c r="G79" s="5">
        <f>-SUMIF('1.2 FY2017'!$B:$B, '2.1 Database'!B79, '1.2 FY2017'!$F:$F)</f>
        <v>-23928.799999999999</v>
      </c>
      <c r="H79" s="5">
        <f>-SUMIF('1.3 FY2018'!$B:$B, '2.1 Database'!B79, '1.3 FY2018'!$F:$F)</f>
        <v>0</v>
      </c>
      <c r="I79" s="2" t="s">
        <v>225</v>
      </c>
      <c r="L79" s="5">
        <f>COUNTIF('2.2 P&amp;L statement'!$B$4:$B$24,'2.1 Database'!I79)</f>
        <v>1</v>
      </c>
    </row>
    <row r="80" spans="2:12" x14ac:dyDescent="0.2">
      <c r="B80" s="5" t="s">
        <v>211</v>
      </c>
      <c r="C80" s="5" t="str">
        <f>VLOOKUP($B80, '1.2 FY2017'!$B$5:$E$86,2,FALSE)</f>
        <v>Losses fr disposal of PPE</v>
      </c>
      <c r="D80" s="5">
        <f>VLOOKUP($B80, '1.2 FY2017'!$B$5:$E$86,3,FALSE)</f>
        <v>111111</v>
      </c>
      <c r="E80" s="5" t="str">
        <f>VLOOKUP($B80, '1.2 FY2017'!$B$5:$E$86,4,FALSE)</f>
        <v>External</v>
      </c>
      <c r="F80" s="5">
        <f>-SUMIF('1.1 FY2016'!$B:$B, '2.1 Database'!B80,'1.1 FY2016'!$F:$F)</f>
        <v>0</v>
      </c>
      <c r="G80" s="5">
        <f>-SUMIF('1.2 FY2017'!$B:$B, '2.1 Database'!B80, '1.2 FY2017'!$F:$F)</f>
        <v>-308232</v>
      </c>
      <c r="H80" s="5">
        <f>-SUMIF('1.3 FY2018'!$B:$B, '2.1 Database'!B80, '1.3 FY2018'!$F:$F)</f>
        <v>0</v>
      </c>
      <c r="I80" s="2" t="s">
        <v>232</v>
      </c>
      <c r="L80" s="5">
        <f>COUNTIF('2.2 P&amp;L statement'!$B$4:$B$24,'2.1 Database'!I80)</f>
        <v>1</v>
      </c>
    </row>
    <row r="81" spans="2:12" x14ac:dyDescent="0.2">
      <c r="B81" s="5" t="s">
        <v>212</v>
      </c>
      <c r="C81" s="5" t="str">
        <f>VLOOKUP($B81, '1.2 FY2017'!$B$5:$E$86,2,FALSE)</f>
        <v>Other operative currency differences</v>
      </c>
      <c r="D81" s="5">
        <f>VLOOKUP($B81, '1.2 FY2017'!$B$5:$E$86,3,FALSE)</f>
        <v>19</v>
      </c>
      <c r="E81" s="5" t="str">
        <f>VLOOKUP($B81, '1.2 FY2017'!$B$5:$E$86,4,FALSE)</f>
        <v>Generco Cosmetics Ltd</v>
      </c>
      <c r="F81" s="5">
        <f>-SUMIF('1.1 FY2016'!$B:$B, '2.1 Database'!B81,'1.1 FY2016'!$F:$F)</f>
        <v>0</v>
      </c>
      <c r="G81" s="5">
        <f>-SUMIF('1.2 FY2017'!$B:$B, '2.1 Database'!B81, '1.2 FY2017'!$F:$F)</f>
        <v>-13422.779999999999</v>
      </c>
      <c r="H81" s="5">
        <f>-SUMIF('1.3 FY2018'!$B:$B, '2.1 Database'!B81, '1.3 FY2018'!$F:$F)</f>
        <v>0</v>
      </c>
      <c r="I81" s="2" t="s">
        <v>225</v>
      </c>
      <c r="L81" s="5">
        <f>COUNTIF('2.2 P&amp;L statement'!$B$4:$B$24,'2.1 Database'!I81)</f>
        <v>1</v>
      </c>
    </row>
    <row r="82" spans="2:12" x14ac:dyDescent="0.2">
      <c r="B82" s="5" t="s">
        <v>213</v>
      </c>
      <c r="C82" s="5" t="str">
        <f>VLOOKUP($B82, '1.2 FY2017'!$B$5:$E$86,2,FALSE)</f>
        <v>Other operative currency differences</v>
      </c>
      <c r="D82" s="5">
        <f>VLOOKUP($B82, '1.2 FY2017'!$B$5:$E$86,3,FALSE)</f>
        <v>111111</v>
      </c>
      <c r="E82" s="5" t="str">
        <f>VLOOKUP($B82, '1.2 FY2017'!$B$5:$E$86,4,FALSE)</f>
        <v>External</v>
      </c>
      <c r="F82" s="5">
        <f>-SUMIF('1.1 FY2016'!$B:$B, '2.1 Database'!B82,'1.1 FY2016'!$F:$F)</f>
        <v>0</v>
      </c>
      <c r="G82" s="5">
        <f>-SUMIF('1.2 FY2017'!$B:$B, '2.1 Database'!B82, '1.2 FY2017'!$F:$F)</f>
        <v>-4045.6150000000002</v>
      </c>
      <c r="H82" s="5">
        <f>-SUMIF('1.3 FY2018'!$B:$B, '2.1 Database'!B82, '1.3 FY2018'!$F:$F)</f>
        <v>0</v>
      </c>
      <c r="I82" s="2" t="s">
        <v>225</v>
      </c>
      <c r="L82" s="5">
        <f>COUNTIF('2.2 P&amp;L statement'!$B$4:$B$24,'2.1 Database'!I82)</f>
        <v>1</v>
      </c>
    </row>
    <row r="83" spans="2:12" x14ac:dyDescent="0.2">
      <c r="B83" s="5" t="s">
        <v>214</v>
      </c>
      <c r="C83" s="5" t="str">
        <f>VLOOKUP($B83, '1.2 FY2017'!$B$5:$E$86,2,FALSE)</f>
        <v>Property tax</v>
      </c>
      <c r="D83" s="5">
        <f>VLOOKUP($B83, '1.2 FY2017'!$B$5:$E$86,3,FALSE)</f>
        <v>111111</v>
      </c>
      <c r="E83" s="5" t="str">
        <f>VLOOKUP($B83, '1.2 FY2017'!$B$5:$E$86,4,FALSE)</f>
        <v>External</v>
      </c>
      <c r="F83" s="5">
        <f>-SUMIF('1.1 FY2016'!$B:$B, '2.1 Database'!B83,'1.1 FY2016'!$F:$F)</f>
        <v>0</v>
      </c>
      <c r="G83" s="5">
        <f>-SUMIF('1.2 FY2017'!$B:$B, '2.1 Database'!B83, '1.2 FY2017'!$F:$F)</f>
        <v>-49621.144999999997</v>
      </c>
      <c r="H83" s="5">
        <f>-SUMIF('1.3 FY2018'!$B:$B, '2.1 Database'!B83, '1.3 FY2018'!$F:$F)</f>
        <v>0</v>
      </c>
      <c r="I83" s="2" t="s">
        <v>225</v>
      </c>
      <c r="L83" s="5">
        <f>COUNTIF('2.2 P&amp;L statement'!$B$4:$B$24,'2.1 Database'!I83)</f>
        <v>1</v>
      </c>
    </row>
    <row r="84" spans="2:12" x14ac:dyDescent="0.2">
      <c r="B84" s="5" t="s">
        <v>215</v>
      </c>
      <c r="C84" s="5" t="str">
        <f>VLOOKUP($B84, '1.2 FY2017'!$B$5:$E$86,2,FALSE)</f>
        <v>Misc extraordinary expenses</v>
      </c>
      <c r="D84" s="5">
        <f>VLOOKUP($B84, '1.2 FY2017'!$B$5:$E$86,3,FALSE)</f>
        <v>19</v>
      </c>
      <c r="E84" s="5" t="str">
        <f>VLOOKUP($B84, '1.2 FY2017'!$B$5:$E$86,4,FALSE)</f>
        <v>Generco Cosmetics Ltd</v>
      </c>
      <c r="F84" s="5">
        <f>-SUMIF('1.1 FY2016'!$B:$B, '2.1 Database'!B84,'1.1 FY2016'!$F:$F)</f>
        <v>0</v>
      </c>
      <c r="G84" s="5">
        <f>-SUMIF('1.2 FY2017'!$B:$B, '2.1 Database'!B84, '1.2 FY2017'!$F:$F)</f>
        <v>-85462.684999999998</v>
      </c>
      <c r="H84" s="5">
        <f>-SUMIF('1.3 FY2018'!$B:$B, '2.1 Database'!B84, '1.3 FY2018'!$F:$F)</f>
        <v>0</v>
      </c>
      <c r="I84" s="2" t="s">
        <v>232</v>
      </c>
      <c r="L84" s="5">
        <f>COUNTIF('2.2 P&amp;L statement'!$B$4:$B$24,'2.1 Database'!I84)</f>
        <v>1</v>
      </c>
    </row>
    <row r="85" spans="2:12" x14ac:dyDescent="0.2">
      <c r="B85" s="5" t="s">
        <v>216</v>
      </c>
      <c r="C85" s="5" t="str">
        <f>VLOOKUP($B85, '1.2 FY2017'!$B$5:$E$86,2,FALSE)</f>
        <v>Misc extraordinary expenses</v>
      </c>
      <c r="D85" s="5" t="str">
        <f>VLOOKUP($B85, '1.2 FY2017'!$B$5:$E$86,3,FALSE)</f>
        <v>43</v>
      </c>
      <c r="E85" s="5" t="str">
        <f>VLOOKUP($B85, '1.2 FY2017'!$B$5:$E$86,4,FALSE)</f>
        <v>Greeny France SL</v>
      </c>
      <c r="F85" s="5">
        <f>-SUMIF('1.1 FY2016'!$B:$B, '2.1 Database'!B85,'1.1 FY2016'!$F:$F)</f>
        <v>0</v>
      </c>
      <c r="G85" s="5">
        <f>-SUMIF('1.2 FY2017'!$B:$B, '2.1 Database'!B85, '1.2 FY2017'!$F:$F)</f>
        <v>-11422.144999999999</v>
      </c>
      <c r="H85" s="5">
        <f>-SUMIF('1.3 FY2018'!$B:$B, '2.1 Database'!B85, '1.3 FY2018'!$F:$F)</f>
        <v>0</v>
      </c>
      <c r="I85" s="2" t="s">
        <v>232</v>
      </c>
      <c r="L85" s="5">
        <f>COUNTIF('2.2 P&amp;L statement'!$B$4:$B$24,'2.1 Database'!I85)</f>
        <v>1</v>
      </c>
    </row>
    <row r="86" spans="2:12" x14ac:dyDescent="0.2">
      <c r="B86" s="5" t="s">
        <v>193</v>
      </c>
      <c r="C86" s="5" t="str">
        <f>VLOOKUP($B86, '1.2 FY2017'!$B$5:$E$86,2,FALSE)</f>
        <v>Misc extraordinary expenses</v>
      </c>
      <c r="D86" s="5" t="str">
        <f>VLOOKUP($B86, '1.2 FY2017'!$B$5:$E$86,3,FALSE)</f>
        <v>1924</v>
      </c>
      <c r="E86" s="5" t="str">
        <f>VLOOKUP($B86, '1.2 FY2017'!$B$5:$E$86,4,FALSE)</f>
        <v>Generco Infrastructure Ltd</v>
      </c>
      <c r="F86" s="5">
        <f>-SUMIF('1.1 FY2016'!$B:$B, '2.1 Database'!B86,'1.1 FY2016'!$F:$F)</f>
        <v>0</v>
      </c>
      <c r="G86" s="5">
        <f>-SUMIF('1.2 FY2017'!$B:$B, '2.1 Database'!B86, '1.2 FY2017'!$F:$F)</f>
        <v>-84438.864999999991</v>
      </c>
      <c r="H86" s="5">
        <f>-SUMIF('1.3 FY2018'!$B:$B, '2.1 Database'!B86, '1.3 FY2018'!$F:$F)</f>
        <v>0</v>
      </c>
      <c r="I86" s="2" t="s">
        <v>232</v>
      </c>
      <c r="L86" s="5">
        <f>COUNTIF('2.2 P&amp;L statement'!$B$4:$B$24,'2.1 Database'!I86)</f>
        <v>1</v>
      </c>
    </row>
    <row r="87" spans="2:12" x14ac:dyDescent="0.2">
      <c r="B87" s="5" t="s">
        <v>194</v>
      </c>
      <c r="C87" s="5" t="str">
        <f>VLOOKUP($B87, '1.2 FY2017'!$B$5:$E$86,2,FALSE)</f>
        <v>Difference from eliminations</v>
      </c>
      <c r="D87" s="5" t="str">
        <f>VLOOKUP($B87, '1.2 FY2017'!$B$5:$E$86,3,FALSE)</f>
        <v>1086</v>
      </c>
      <c r="E87" s="5" t="str">
        <f>VLOOKUP($B87, '1.2 FY2017'!$B$5:$E$86,4,FALSE)</f>
        <v>G&amp;Resources Ltd</v>
      </c>
      <c r="F87" s="5">
        <f>-SUMIF('1.1 FY2016'!$B:$B, '2.1 Database'!B87,'1.1 FY2016'!$F:$F)</f>
        <v>0</v>
      </c>
      <c r="G87" s="5">
        <f>-SUMIF('1.2 FY2017'!$B:$B, '2.1 Database'!B87, '1.2 FY2017'!$F:$F)</f>
        <v>0</v>
      </c>
      <c r="H87" s="5">
        <f>-SUMIF('1.3 FY2018'!$B:$B, '2.1 Database'!B87, '1.3 FY2018'!$F:$F)</f>
        <v>0</v>
      </c>
      <c r="L87" s="5">
        <f>COUNTIF('2.2 P&amp;L statement'!$B$4:$B$24,'2.1 Database'!I87)</f>
        <v>0</v>
      </c>
    </row>
    <row r="88" spans="2:12" x14ac:dyDescent="0.2">
      <c r="B88" s="5" t="s">
        <v>195</v>
      </c>
      <c r="C88" s="5" t="str">
        <f>VLOOKUP($B88, '1.2 FY2017'!$B$5:$E$86,2,FALSE)</f>
        <v>Interest income</v>
      </c>
      <c r="D88" s="5" t="str">
        <f>VLOOKUP($B88, '1.2 FY2017'!$B$5:$E$86,3,FALSE)</f>
        <v>1086</v>
      </c>
      <c r="E88" s="5" t="str">
        <f>VLOOKUP($B88, '1.2 FY2017'!$B$5:$E$86,4,FALSE)</f>
        <v>G&amp;Resources Ltd</v>
      </c>
      <c r="F88" s="5">
        <f>-SUMIF('1.1 FY2016'!$B:$B, '2.1 Database'!B88,'1.1 FY2016'!$F:$F)</f>
        <v>0</v>
      </c>
      <c r="G88" s="5">
        <f>-SUMIF('1.2 FY2017'!$B:$B, '2.1 Database'!B88, '1.2 FY2017'!$F:$F)</f>
        <v>0</v>
      </c>
      <c r="H88" s="5">
        <f>-SUMIF('1.3 FY2018'!$B:$B, '2.1 Database'!B88, '1.3 FY2018'!$F:$F)</f>
        <v>0</v>
      </c>
      <c r="I88" s="2" t="s">
        <v>231</v>
      </c>
      <c r="L88" s="5">
        <f>COUNTIF('2.2 P&amp;L statement'!$B$4:$B$24,'2.1 Database'!I88)</f>
        <v>1</v>
      </c>
    </row>
    <row r="89" spans="2:12" x14ac:dyDescent="0.2">
      <c r="B89" s="5" t="s">
        <v>196</v>
      </c>
      <c r="C89" s="5" t="str">
        <f>VLOOKUP($B89, '1.2 FY2017'!$B$5:$E$86,2,FALSE)</f>
        <v>Interest income</v>
      </c>
      <c r="D89" s="5">
        <f>VLOOKUP($B89, '1.2 FY2017'!$B$5:$E$86,3,FALSE)</f>
        <v>1006</v>
      </c>
      <c r="E89" s="5" t="str">
        <f>VLOOKUP($B89, '1.2 FY2017'!$B$5:$E$86,4,FALSE)</f>
        <v>Generco Mining GmbH</v>
      </c>
      <c r="F89" s="5">
        <f>-SUMIF('1.1 FY2016'!$B:$B, '2.1 Database'!B89,'1.1 FY2016'!$F:$F)</f>
        <v>0</v>
      </c>
      <c r="G89" s="5">
        <f>-SUMIF('1.2 FY2017'!$B:$B, '2.1 Database'!B89, '1.2 FY2017'!$F:$F)</f>
        <v>6778.415</v>
      </c>
      <c r="H89" s="5">
        <f>-SUMIF('1.3 FY2018'!$B:$B, '2.1 Database'!B89, '1.3 FY2018'!$F:$F)</f>
        <v>0</v>
      </c>
      <c r="I89" s="2" t="s">
        <v>231</v>
      </c>
      <c r="L89" s="5">
        <f>COUNTIF('2.2 P&amp;L statement'!$B$4:$B$24,'2.1 Database'!I89)</f>
        <v>1</v>
      </c>
    </row>
    <row r="90" spans="2:12" x14ac:dyDescent="0.2">
      <c r="B90" s="5" t="s">
        <v>197</v>
      </c>
      <c r="C90" s="5" t="str">
        <f>VLOOKUP($B90, '1.2 FY2017'!$B$5:$E$86,2,FALSE)</f>
        <v>Interest expenses</v>
      </c>
      <c r="D90" s="5">
        <f>VLOOKUP($B90, '1.2 FY2017'!$B$5:$E$86,3,FALSE)</f>
        <v>1007</v>
      </c>
      <c r="E90" s="5" t="str">
        <f>VLOOKUP($B90, '1.2 FY2017'!$B$5:$E$86,4,FALSE)</f>
        <v>Generco Semiconductors Ltd</v>
      </c>
      <c r="F90" s="5">
        <f>-SUMIF('1.1 FY2016'!$B:$B, '2.1 Database'!B90,'1.1 FY2016'!$F:$F)</f>
        <v>0</v>
      </c>
      <c r="G90" s="5">
        <f>-SUMIF('1.2 FY2017'!$B:$B, '2.1 Database'!B90, '1.2 FY2017'!$F:$F)</f>
        <v>0</v>
      </c>
      <c r="H90" s="5">
        <f>-SUMIF('1.3 FY2018'!$B:$B, '2.1 Database'!B90, '1.3 FY2018'!$F:$F)</f>
        <v>0</v>
      </c>
      <c r="I90" s="2" t="s">
        <v>231</v>
      </c>
      <c r="L90" s="5">
        <f>COUNTIF('2.2 P&amp;L statement'!$B$4:$B$24,'2.1 Database'!I90)</f>
        <v>1</v>
      </c>
    </row>
    <row r="91" spans="2:12" x14ac:dyDescent="0.2">
      <c r="B91" s="5" t="s">
        <v>198</v>
      </c>
      <c r="C91" s="5" t="str">
        <f>VLOOKUP($B91, '1.2 FY2017'!$B$5:$E$86,2,FALSE)</f>
        <v>Interest expenses</v>
      </c>
      <c r="D91" s="5">
        <f>VLOOKUP($B91, '1.2 FY2017'!$B$5:$E$86,3,FALSE)</f>
        <v>111111</v>
      </c>
      <c r="E91" s="5" t="str">
        <f>VLOOKUP($B91, '1.2 FY2017'!$B$5:$E$86,4,FALSE)</f>
        <v>External</v>
      </c>
      <c r="F91" s="5">
        <f>-SUMIF('1.1 FY2016'!$B:$B, '2.1 Database'!B91,'1.1 FY2016'!$F:$F)</f>
        <v>0</v>
      </c>
      <c r="G91" s="5">
        <f>-SUMIF('1.2 FY2017'!$B:$B, '2.1 Database'!B91, '1.2 FY2017'!$F:$F)</f>
        <v>-1250.7950000000001</v>
      </c>
      <c r="H91" s="5">
        <f>-SUMIF('1.3 FY2018'!$B:$B, '2.1 Database'!B91, '1.3 FY2018'!$F:$F)</f>
        <v>-51.454999999999998</v>
      </c>
      <c r="I91" s="2" t="s">
        <v>231</v>
      </c>
      <c r="L91" s="5">
        <f>COUNTIF('2.2 P&amp;L statement'!$B$4:$B$24,'2.1 Database'!I91)</f>
        <v>1</v>
      </c>
    </row>
    <row r="92" spans="2:12" x14ac:dyDescent="0.2">
      <c r="B92" s="5" t="s">
        <v>217</v>
      </c>
      <c r="C92" s="5" t="str">
        <f>VLOOKUP($B92, '1.2 FY2017'!$B$5:$E$86,2,FALSE)</f>
        <v>Impairment of participation</v>
      </c>
      <c r="D92" s="5">
        <f>VLOOKUP($B92, '1.2 FY2017'!$B$5:$E$86,3,FALSE)</f>
        <v>1240</v>
      </c>
      <c r="E92" s="5" t="str">
        <f>VLOOKUP($B92, '1.2 FY2017'!$B$5:$E$86,4,FALSE)</f>
        <v xml:space="preserve">Generco UK </v>
      </c>
      <c r="F92" s="5">
        <f>-SUMIF('1.1 FY2016'!$B:$B, '2.1 Database'!B92,'1.1 FY2016'!$F:$F)</f>
        <v>0</v>
      </c>
      <c r="G92" s="5">
        <f>-SUMIF('1.2 FY2017'!$B:$B, '2.1 Database'!B92, '1.2 FY2017'!$F:$F)</f>
        <v>-4130000</v>
      </c>
      <c r="H92" s="5">
        <f>-SUMIF('1.3 FY2018'!$B:$B, '2.1 Database'!B92, '1.3 FY2018'!$F:$F)</f>
        <v>0</v>
      </c>
      <c r="I92" s="2" t="s">
        <v>232</v>
      </c>
      <c r="L92" s="5">
        <f>COUNTIF('2.2 P&amp;L statement'!$B$4:$B$24,'2.1 Database'!I92)</f>
        <v>1</v>
      </c>
    </row>
    <row r="93" spans="2:12" x14ac:dyDescent="0.2">
      <c r="B93" s="5" t="s">
        <v>218</v>
      </c>
      <c r="C93" s="5" t="str">
        <f>VLOOKUP($B93, '1.2 FY2017'!$B$5:$E$86,2,FALSE)</f>
        <v>Quarterly changes in current taxes</v>
      </c>
      <c r="D93" s="5">
        <f>VLOOKUP($B93, '1.2 FY2017'!$B$5:$E$86,3,FALSE)</f>
        <v>111101</v>
      </c>
      <c r="E93" s="5" t="str">
        <f>VLOOKUP($B93, '1.2 FY2017'!$B$5:$E$86,4,FALSE)</f>
        <v>Not assigned</v>
      </c>
      <c r="F93" s="5">
        <f>-SUMIF('1.1 FY2016'!$B:$B, '2.1 Database'!B93,'1.1 FY2016'!$F:$F)</f>
        <v>0</v>
      </c>
      <c r="G93" s="5">
        <f>-SUMIF('1.2 FY2017'!$B:$B, '2.1 Database'!B93, '1.2 FY2017'!$F:$F)</f>
        <v>0</v>
      </c>
      <c r="H93" s="5">
        <f>-SUMIF('1.3 FY2018'!$B:$B, '2.1 Database'!B93, '1.3 FY2018'!$F:$F)</f>
        <v>0</v>
      </c>
      <c r="L93" s="5">
        <f>COUNTIF('2.2 P&amp;L statement'!$B$4:$B$24,'2.1 Database'!I93)</f>
        <v>0</v>
      </c>
    </row>
    <row r="94" spans="2:12" x14ac:dyDescent="0.2">
      <c r="B94" s="5" t="s">
        <v>201</v>
      </c>
      <c r="C94" s="5" t="str">
        <f>VLOOKUP($B94, '1.2 FY2017'!$B$5:$E$86,2,FALSE)</f>
        <v>Net income/(loss)</v>
      </c>
      <c r="D94" s="5">
        <f>VLOOKUP($B94, '1.2 FY2017'!$B$5:$E$86,3,FALSE)</f>
        <v>111101</v>
      </c>
      <c r="E94" s="5" t="str">
        <f>VLOOKUP($B94, '1.2 FY2017'!$B$5:$E$86,4,FALSE)</f>
        <v>Not assigned</v>
      </c>
      <c r="F94" s="5">
        <f>SUMIF('1.1 FY2016'!$B:$B, '2.1 Database'!B94,'1.1 FY2016'!$F:$F)</f>
        <v>0</v>
      </c>
      <c r="G94" s="5">
        <f>SUMIF('1.2 FY2017'!$B:$B, '2.1 Database'!B94, '1.2 FY2017'!$F:$F)</f>
        <v>6073808.1600000001</v>
      </c>
      <c r="H94" s="5">
        <f>SUMIF('1.3 FY2018'!$B:$B, '2.1 Database'!B94, '1.3 FY2018'!$F:$F)</f>
        <v>-779290.47600000002</v>
      </c>
      <c r="I94" s="2" t="s">
        <v>234</v>
      </c>
      <c r="L94" s="5">
        <f>COUNTIF('2.2 P&amp;L statement'!$B$4:$B$24,'2.1 Database'!I94)</f>
        <v>1</v>
      </c>
    </row>
    <row r="95" spans="2:12" x14ac:dyDescent="0.2">
      <c r="B95" s="5" t="s">
        <v>173</v>
      </c>
      <c r="C95" s="5" t="str">
        <f>VLOOKUP($B95, '1.3 FY2018'!$B$5:$E$78,2,FALSE)</f>
        <v>Operating expenses for utilities</v>
      </c>
      <c r="D95" s="5">
        <f>VLOOKUP($B95, '1.3 FY2018'!$B$5:$E$78,3,FALSE)</f>
        <v>111111</v>
      </c>
      <c r="E95" s="5" t="str">
        <f>VLOOKUP($B95, '1.3 FY2018'!$B$5:$E$78,4,FALSE)</f>
        <v>External</v>
      </c>
      <c r="F95" s="5">
        <f>-SUMIF('1.1 FY2016'!$B:$B, '2.1 Database'!B95,'1.1 FY2016'!$F:$F)</f>
        <v>0</v>
      </c>
      <c r="G95" s="5">
        <f>-SUMIF('1.2 FY2017'!$B:$B, '2.1 Database'!B95, '1.2 FY2017'!$F:$F)</f>
        <v>0</v>
      </c>
      <c r="H95" s="5">
        <f>-SUMIF('1.3 FY2018'!$B:$B, '2.1 Database'!B95, '1.3 FY2018'!$F:$F)</f>
        <v>-13691.949999999999</v>
      </c>
      <c r="I95" s="2" t="s">
        <v>225</v>
      </c>
      <c r="L95" s="5">
        <f>COUNTIF('2.2 P&amp;L statement'!$B$4:$B$24,'2.1 Database'!I95)</f>
        <v>1</v>
      </c>
    </row>
    <row r="96" spans="2:12" x14ac:dyDescent="0.2">
      <c r="B96" s="5" t="s">
        <v>176</v>
      </c>
      <c r="C96" s="5" t="str">
        <f>VLOOKUP($B96, '1.3 FY2018'!$B$5:$E$78,2,FALSE)</f>
        <v>R&amp;D expenses</v>
      </c>
      <c r="D96" s="5" t="str">
        <f>VLOOKUP($B96, '1.3 FY2018'!$B$5:$E$78,3,FALSE)</f>
        <v>2185</v>
      </c>
      <c r="E96" s="5" t="str">
        <f>VLOOKUP($B96, '1.3 FY2018'!$B$5:$E$78,4,FALSE)</f>
        <v>Generco Green Projects GmbH</v>
      </c>
      <c r="F96" s="5">
        <f>-SUMIF('1.1 FY2016'!$B:$B, '2.1 Database'!B96,'1.1 FY2016'!$F:$F)</f>
        <v>0</v>
      </c>
      <c r="G96" s="5">
        <f>-SUMIF('1.2 FY2017'!$B:$B, '2.1 Database'!B96, '1.2 FY2017'!$F:$F)</f>
        <v>0</v>
      </c>
      <c r="H96" s="5">
        <f>-SUMIF('1.3 FY2018'!$B:$B, '2.1 Database'!B96, '1.3 FY2018'!$F:$F)</f>
        <v>-192017.14499999996</v>
      </c>
      <c r="I96" s="2" t="s">
        <v>225</v>
      </c>
      <c r="L96" s="5">
        <f>COUNTIF('2.2 P&amp;L statement'!$B$4:$B$24,'2.1 Database'!I96)</f>
        <v>1</v>
      </c>
    </row>
    <row r="97" spans="2:12" x14ac:dyDescent="0.2">
      <c r="B97" s="5" t="s">
        <v>177</v>
      </c>
      <c r="C97" s="5" t="str">
        <f>VLOOKUP($B97, '1.3 FY2018'!$B$5:$E$78,2,FALSE)</f>
        <v>R&amp;D expenses</v>
      </c>
      <c r="D97" s="5" t="str">
        <f>VLOOKUP($B97, '1.3 FY2018'!$B$5:$E$78,3,FALSE)</f>
        <v>2240</v>
      </c>
      <c r="E97" s="5" t="str">
        <f>VLOOKUP($B97, '1.3 FY2018'!$B$5:$E$78,4,FALSE)</f>
        <v>Greeny Germany GmbH</v>
      </c>
      <c r="F97" s="5">
        <f>-SUMIF('1.1 FY2016'!$B:$B, '2.1 Database'!B97,'1.1 FY2016'!$F:$F)</f>
        <v>0</v>
      </c>
      <c r="G97" s="5">
        <f>-SUMIF('1.2 FY2017'!$B:$B, '2.1 Database'!B97, '1.2 FY2017'!$F:$F)</f>
        <v>0</v>
      </c>
      <c r="H97" s="5">
        <f>-SUMIF('1.3 FY2018'!$B:$B, '2.1 Database'!B97, '1.3 FY2018'!$F:$F)</f>
        <v>-375290.46599999996</v>
      </c>
      <c r="I97" s="2" t="s">
        <v>225</v>
      </c>
      <c r="L97" s="5">
        <f>COUNTIF('2.2 P&amp;L statement'!$B$4:$B$24,'2.1 Database'!I97)</f>
        <v>1</v>
      </c>
    </row>
    <row r="98" spans="2:12" x14ac:dyDescent="0.2">
      <c r="B98" s="5" t="s">
        <v>178</v>
      </c>
      <c r="C98" s="5" t="str">
        <f>VLOOKUP($B98, '1.3 FY2018'!$B$5:$E$78,2,FALSE)</f>
        <v>R&amp;D expenses</v>
      </c>
      <c r="D98" s="5">
        <f>VLOOKUP($B98, '1.3 FY2018'!$B$5:$E$78,3,FALSE)</f>
        <v>17000</v>
      </c>
      <c r="E98" s="5" t="str">
        <f>VLOOKUP($B98, '1.3 FY2018'!$B$5:$E$78,4,FALSE)</f>
        <v>Generco Risk Management Ltd</v>
      </c>
      <c r="F98" s="5">
        <f>-SUMIF('1.1 FY2016'!$B:$B, '2.1 Database'!B98,'1.1 FY2016'!$F:$F)</f>
        <v>0</v>
      </c>
      <c r="G98" s="5">
        <f>-SUMIF('1.2 FY2017'!$B:$B, '2.1 Database'!B98, '1.2 FY2017'!$F:$F)</f>
        <v>0</v>
      </c>
      <c r="H98" s="5">
        <f>-SUMIF('1.3 FY2018'!$B:$B, '2.1 Database'!B98, '1.3 FY2018'!$F:$F)</f>
        <v>-4920</v>
      </c>
      <c r="I98" s="2" t="s">
        <v>225</v>
      </c>
      <c r="L98" s="5">
        <f>COUNTIF('2.2 P&amp;L statement'!$B$4:$B$24,'2.1 Database'!I98)</f>
        <v>1</v>
      </c>
    </row>
    <row r="99" spans="2:12" x14ac:dyDescent="0.2">
      <c r="B99" s="5" t="s">
        <v>180</v>
      </c>
      <c r="C99" s="5" t="str">
        <f>VLOOKUP($B99, '1.3 FY2018'!$B$5:$E$78,2,FALSE)</f>
        <v>Other operative currency differences</v>
      </c>
      <c r="D99" s="5" t="str">
        <f>VLOOKUP($B99, '1.3 FY2018'!$B$5:$E$78,3,FALSE)</f>
        <v>1118</v>
      </c>
      <c r="E99" s="5" t="str">
        <f>VLOOKUP($B99, '1.3 FY2018'!$B$5:$E$78,4,FALSE)</f>
        <v>Gener Green LLC</v>
      </c>
      <c r="F99" s="5">
        <f>-SUMIF('1.1 FY2016'!$B:$B, '2.1 Database'!B99,'1.1 FY2016'!$F:$F)</f>
        <v>0</v>
      </c>
      <c r="G99" s="5">
        <f>-SUMIF('1.2 FY2017'!$B:$B, '2.1 Database'!B99, '1.2 FY2017'!$F:$F)</f>
        <v>0</v>
      </c>
      <c r="H99" s="5">
        <f>-SUMIF('1.3 FY2018'!$B:$B, '2.1 Database'!B99, '1.3 FY2018'!$F:$F)</f>
        <v>0</v>
      </c>
      <c r="I99" s="2" t="s">
        <v>225</v>
      </c>
      <c r="L99" s="5">
        <f>COUNTIF('2.2 P&amp;L statement'!$B$4:$B$24,'2.1 Database'!I99)</f>
        <v>1</v>
      </c>
    </row>
    <row r="100" spans="2:12" x14ac:dyDescent="0.2">
      <c r="B100" s="5" t="s">
        <v>181</v>
      </c>
      <c r="C100" s="5" t="str">
        <f>VLOOKUP($B100, '1.3 FY2018'!$B$5:$E$78,2,FALSE)</f>
        <v>Other operative currency differences</v>
      </c>
      <c r="D100" s="5">
        <f>VLOOKUP($B100, '1.3 FY2018'!$B$5:$E$78,3,FALSE)</f>
        <v>111111</v>
      </c>
      <c r="E100" s="5" t="str">
        <f>VLOOKUP($B100, '1.3 FY2018'!$B$5:$E$78,4,FALSE)</f>
        <v>External</v>
      </c>
      <c r="F100" s="5">
        <f>-SUMIF('1.1 FY2016'!$B:$B, '2.1 Database'!B100,'1.1 FY2016'!$F:$F)</f>
        <v>0</v>
      </c>
      <c r="G100" s="5">
        <f>-SUMIF('1.2 FY2017'!$B:$B, '2.1 Database'!B100, '1.2 FY2017'!$F:$F)</f>
        <v>0</v>
      </c>
      <c r="H100" s="5">
        <f>-SUMIF('1.3 FY2018'!$B:$B, '2.1 Database'!B100, '1.3 FY2018'!$F:$F)</f>
        <v>1252.8369999999998</v>
      </c>
      <c r="I100" s="2" t="s">
        <v>225</v>
      </c>
      <c r="L100" s="5">
        <f>COUNTIF('2.2 P&amp;L statement'!$B$4:$B$24,'2.1 Database'!I100)</f>
        <v>1</v>
      </c>
    </row>
    <row r="101" spans="2:12" x14ac:dyDescent="0.2">
      <c r="B101" s="5" t="s">
        <v>185</v>
      </c>
      <c r="C101" s="5" t="str">
        <f>VLOOKUP($B101, '1.3 FY2018'!$B$5:$E$78,2,FALSE)</f>
        <v>Corporate recharges</v>
      </c>
      <c r="D101" s="5">
        <f>VLOOKUP($B101, '1.3 FY2018'!$B$5:$E$78,3,FALSE)</f>
        <v>1006</v>
      </c>
      <c r="E101" s="5" t="str">
        <f>VLOOKUP($B101, '1.3 FY2018'!$B$5:$E$78,4,FALSE)</f>
        <v>Generco Mining GmbH</v>
      </c>
      <c r="F101" s="5">
        <f>-SUMIF('1.1 FY2016'!$B:$B, '2.1 Database'!B101,'1.1 FY2016'!$F:$F)</f>
        <v>0</v>
      </c>
      <c r="G101" s="5">
        <f>-SUMIF('1.2 FY2017'!$B:$B, '2.1 Database'!B101, '1.2 FY2017'!$F:$F)</f>
        <v>0</v>
      </c>
      <c r="H101" s="5">
        <f>-SUMIF('1.3 FY2018'!$B:$B, '2.1 Database'!B101, '1.3 FY2018'!$F:$F)</f>
        <v>0</v>
      </c>
      <c r="I101" s="2" t="s">
        <v>227</v>
      </c>
      <c r="L101" s="5">
        <f>COUNTIF('2.2 P&amp;L statement'!$B$4:$B$24,'2.1 Database'!I101)</f>
        <v>1</v>
      </c>
    </row>
    <row r="102" spans="2:12" x14ac:dyDescent="0.2">
      <c r="B102" s="5" t="s">
        <v>187</v>
      </c>
      <c r="C102" s="5" t="str">
        <f>VLOOKUP($B102, '1.3 FY2018'!$B$5:$E$78,2,FALSE)</f>
        <v>Reimbursements+compensation for damages</v>
      </c>
      <c r="D102" s="5">
        <f>VLOOKUP($B102, '1.3 FY2018'!$B$5:$E$78,3,FALSE)</f>
        <v>111111</v>
      </c>
      <c r="E102" s="5" t="str">
        <f>VLOOKUP($B102, '1.3 FY2018'!$B$5:$E$78,4,FALSE)</f>
        <v>External</v>
      </c>
      <c r="F102" s="5">
        <f>-SUMIF('1.1 FY2016'!$B:$B, '2.1 Database'!B102,'1.1 FY2016'!$F:$F)</f>
        <v>0</v>
      </c>
      <c r="G102" s="5">
        <f>-SUMIF('1.2 FY2017'!$B:$B, '2.1 Database'!B102, '1.2 FY2017'!$F:$F)</f>
        <v>0</v>
      </c>
      <c r="H102" s="5">
        <f>-SUMIF('1.3 FY2018'!$B:$B, '2.1 Database'!B102, '1.3 FY2018'!$F:$F)</f>
        <v>61499.999999999993</v>
      </c>
      <c r="I102" s="2" t="s">
        <v>225</v>
      </c>
      <c r="L102" s="5">
        <f>COUNTIF('2.2 P&amp;L statement'!$B$4:$B$24,'2.1 Database'!I102)</f>
        <v>1</v>
      </c>
    </row>
    <row r="103" spans="2:12" x14ac:dyDescent="0.2">
      <c r="B103" s="5" t="s">
        <v>188</v>
      </c>
      <c r="C103" s="5" t="str">
        <f>VLOOKUP($B103, '1.3 FY2018'!$B$5:$E$78,2,FALSE)</f>
        <v>Other income</v>
      </c>
      <c r="D103" s="5">
        <f>VLOOKUP($B103, '1.3 FY2018'!$B$5:$E$78,3,FALSE)</f>
        <v>105</v>
      </c>
      <c r="E103" s="5" t="str">
        <f>VLOOKUP($B103, '1.3 FY2018'!$B$5:$E$78,4,FALSE)</f>
        <v>Generco Healthcare Ltd</v>
      </c>
      <c r="F103" s="5">
        <f>-SUMIF('1.1 FY2016'!$B:$B, '2.1 Database'!B103,'1.1 FY2016'!$F:$F)</f>
        <v>0</v>
      </c>
      <c r="G103" s="5">
        <f>-SUMIF('1.2 FY2017'!$B:$B, '2.1 Database'!B103, '1.2 FY2017'!$F:$F)</f>
        <v>0</v>
      </c>
      <c r="H103" s="5">
        <f>-SUMIF('1.3 FY2018'!$B:$B, '2.1 Database'!B103, '1.3 FY2018'!$F:$F)</f>
        <v>30913.425999999996</v>
      </c>
      <c r="I103" s="2" t="s">
        <v>74</v>
      </c>
      <c r="L103" s="5">
        <f>COUNTIF('2.2 P&amp;L statement'!$B$4:$B$24,'2.1 Database'!I103)</f>
        <v>1</v>
      </c>
    </row>
    <row r="104" spans="2:12" x14ac:dyDescent="0.2">
      <c r="B104" s="5" t="s">
        <v>189</v>
      </c>
      <c r="C104" s="5" t="str">
        <f>VLOOKUP($B104, '1.3 FY2018'!$B$5:$E$78,2,FALSE)</f>
        <v>Leasings</v>
      </c>
      <c r="D104" s="5">
        <f>VLOOKUP($B104, '1.3 FY2018'!$B$5:$E$78,3,FALSE)</f>
        <v>105</v>
      </c>
      <c r="E104" s="5" t="str">
        <f>VLOOKUP($B104, '1.3 FY2018'!$B$5:$E$78,4,FALSE)</f>
        <v>Generco Healthcare Ltd</v>
      </c>
      <c r="F104" s="5">
        <f>-SUMIF('1.1 FY2016'!$B:$B, '2.1 Database'!B104,'1.1 FY2016'!$F:$F)</f>
        <v>0</v>
      </c>
      <c r="G104" s="5">
        <f>-SUMIF('1.2 FY2017'!$B:$B, '2.1 Database'!B104, '1.2 FY2017'!$F:$F)</f>
        <v>0</v>
      </c>
      <c r="H104" s="5">
        <f>-SUMIF('1.3 FY2018'!$B:$B, '2.1 Database'!B104, '1.3 FY2018'!$F:$F)</f>
        <v>1423120</v>
      </c>
      <c r="I104" s="2" t="s">
        <v>228</v>
      </c>
      <c r="L104" s="5">
        <f>COUNTIF('2.2 P&amp;L statement'!$B$4:$B$24,'2.1 Database'!I104)</f>
        <v>1</v>
      </c>
    </row>
    <row r="105" spans="2:12" x14ac:dyDescent="0.2">
      <c r="B105" s="5" t="s">
        <v>191</v>
      </c>
      <c r="C105" s="5" t="str">
        <f>VLOOKUP($B105, '1.3 FY2018'!$B$5:$E$78,2,FALSE)</f>
        <v>Insurance expenses</v>
      </c>
      <c r="D105" s="5">
        <f>VLOOKUP($B105, '1.3 FY2018'!$B$5:$E$78,3,FALSE)</f>
        <v>88</v>
      </c>
      <c r="E105" s="5" t="str">
        <f>VLOOKUP($B105, '1.3 FY2018'!$B$5:$E$78,4,FALSE)</f>
        <v>Generco Ltd</v>
      </c>
      <c r="F105" s="5">
        <f>-SUMIF('1.1 FY2016'!$B:$B, '2.1 Database'!B105,'1.1 FY2016'!$F:$F)</f>
        <v>0</v>
      </c>
      <c r="G105" s="5">
        <f>-SUMIF('1.2 FY2017'!$B:$B, '2.1 Database'!B105, '1.2 FY2017'!$F:$F)</f>
        <v>0</v>
      </c>
      <c r="H105" s="5">
        <f>-SUMIF('1.3 FY2018'!$B:$B, '2.1 Database'!B105, '1.3 FY2018'!$F:$F)</f>
        <v>-584.66</v>
      </c>
      <c r="I105" s="2" t="s">
        <v>225</v>
      </c>
      <c r="L105" s="5">
        <f>COUNTIF('2.2 P&amp;L statement'!$B$4:$B$24,'2.1 Database'!I105)</f>
        <v>1</v>
      </c>
    </row>
    <row r="106" spans="2:12" x14ac:dyDescent="0.2">
      <c r="B106" s="5" t="s">
        <v>192</v>
      </c>
      <c r="C106" s="5" t="str">
        <f>VLOOKUP($B106, '1.3 FY2018'!$B$5:$E$78,2,FALSE)</f>
        <v>Repairs/Maintenance costs</v>
      </c>
      <c r="D106" s="5">
        <f>VLOOKUP($B106, '1.3 FY2018'!$B$5:$E$78,3,FALSE)</f>
        <v>111111</v>
      </c>
      <c r="E106" s="5" t="str">
        <f>VLOOKUP($B106, '1.3 FY2018'!$B$5:$E$78,4,FALSE)</f>
        <v>External</v>
      </c>
      <c r="F106" s="5">
        <v>0</v>
      </c>
      <c r="G106" s="5">
        <f>-SUMIF('1.2 FY2017'!$B:$B, '2.1 Database'!B106, '1.2 FY2017'!$F:$F)</f>
        <v>0</v>
      </c>
      <c r="H106" s="5">
        <f>-SUMIF('1.3 FY2018'!$B:$B, '2.1 Database'!B106, '1.3 FY2018'!$F:$F)</f>
        <v>-1352.9999999999998</v>
      </c>
      <c r="I106" s="2" t="s">
        <v>225</v>
      </c>
      <c r="L106" s="5">
        <f>COUNTIF('2.2 P&amp;L statement'!$B$4:$B$24,'2.1 Database'!I106)</f>
        <v>1</v>
      </c>
    </row>
    <row r="107" spans="2:12" x14ac:dyDescent="0.2">
      <c r="B107" s="5" t="s">
        <v>199</v>
      </c>
      <c r="C107" s="5" t="str">
        <f>VLOOKUP($B107, '1.3 FY2018'!$B$5:$E$78,2,FALSE)</f>
        <v>Impairment of participation</v>
      </c>
      <c r="D107" s="5">
        <f>VLOOKUP($B107, '1.3 FY2018'!$B$5:$E$78,3,FALSE)</f>
        <v>111101</v>
      </c>
      <c r="E107" s="5" t="str">
        <f>VLOOKUP($B107, '1.3 FY2018'!$B$5:$E$78,4,FALSE)</f>
        <v>Not assigned</v>
      </c>
      <c r="F107" s="5">
        <f>-SUMIF('1.1 FY2016'!$B:$B, '2.1 Database'!B107,'1.1 FY2016'!$F:$F)</f>
        <v>0</v>
      </c>
      <c r="G107" s="5">
        <f>-SUMIF('1.2 FY2017'!$B:$B, '2.1 Database'!B107, '1.2 FY2017'!$F:$F)</f>
        <v>0</v>
      </c>
      <c r="H107" s="5">
        <f>-SUMIF('1.3 FY2018'!$B:$B, '2.1 Database'!B107, '1.3 FY2018'!$F:$F)</f>
        <v>0</v>
      </c>
      <c r="L107" s="5">
        <f>COUNTIF('2.2 P&amp;L statement'!$B$4:$B$24,'2.1 Database'!I107)</f>
        <v>0</v>
      </c>
    </row>
    <row r="108" spans="2:12" x14ac:dyDescent="0.2">
      <c r="B108" s="5" t="s">
        <v>200</v>
      </c>
      <c r="C108" s="5" t="str">
        <f>VLOOKUP($B108, '1.3 FY2018'!$B$5:$E$78,2,FALSE)</f>
        <v>Offset segments (tech.)</v>
      </c>
      <c r="D108" s="5">
        <f>VLOOKUP($B108, '1.3 FY2018'!$B$5:$E$78,3,FALSE)</f>
        <v>111101</v>
      </c>
      <c r="E108" s="5" t="str">
        <f>VLOOKUP($B108, '1.3 FY2018'!$B$5:$E$78,4,FALSE)</f>
        <v>Not assigned</v>
      </c>
      <c r="F108" s="5">
        <f>-SUMIF('1.1 FY2016'!$B:$B, '2.1 Database'!B108,'1.1 FY2016'!$F:$F)</f>
        <v>0</v>
      </c>
      <c r="G108" s="5">
        <f>-SUMIF('1.2 FY2017'!$B:$B, '2.1 Database'!B108, '1.2 FY2017'!$F:$F)</f>
        <v>0</v>
      </c>
      <c r="H108" s="5">
        <f>-SUMIF('1.3 FY2018'!$B:$B, '2.1 Database'!B108, '1.3 FY2018'!$F:$F)</f>
        <v>0</v>
      </c>
      <c r="L108" s="5">
        <f>COUNTIF('2.2 P&amp;L statement'!$B$4:$B$24,'2.1 Database'!I108)</f>
        <v>0</v>
      </c>
    </row>
    <row r="109" spans="2:12" ht="15" x14ac:dyDescent="0.25">
      <c r="B109" s="22"/>
      <c r="C109" s="5" t="s">
        <v>222</v>
      </c>
      <c r="D109" s="5" t="s">
        <v>222</v>
      </c>
      <c r="E109" s="5" t="s">
        <v>222</v>
      </c>
      <c r="F109" s="5" t="s">
        <v>222</v>
      </c>
      <c r="G109" s="5" t="s">
        <v>222</v>
      </c>
      <c r="L109" s="5">
        <f>COUNTIF('2.2 P&amp;L statement'!$B$4:$B$24,'2.1 Database'!I109)</f>
        <v>0</v>
      </c>
    </row>
    <row r="110" spans="2:12" ht="15" x14ac:dyDescent="0.25">
      <c r="B110" s="22"/>
    </row>
    <row r="111" spans="2:12" ht="15" x14ac:dyDescent="0.25">
      <c r="B111" s="22"/>
    </row>
    <row r="112" spans="2:12" ht="15" x14ac:dyDescent="0.25">
      <c r="B112" s="22"/>
    </row>
    <row r="113" spans="2:2" ht="15" x14ac:dyDescent="0.25">
      <c r="B113" s="22"/>
    </row>
    <row r="114" spans="2:2" ht="15" x14ac:dyDescent="0.25">
      <c r="B114" s="22"/>
    </row>
    <row r="115" spans="2:2" ht="15" x14ac:dyDescent="0.25">
      <c r="B115" s="22"/>
    </row>
    <row r="116" spans="2:2" ht="15" x14ac:dyDescent="0.25">
      <c r="B116" s="22"/>
    </row>
    <row r="117" spans="2:2" ht="15" x14ac:dyDescent="0.25">
      <c r="B117" s="22"/>
    </row>
    <row r="118" spans="2:2" ht="15" x14ac:dyDescent="0.25">
      <c r="B118" s="22"/>
    </row>
    <row r="119" spans="2:2" ht="15" x14ac:dyDescent="0.25">
      <c r="B119" s="22"/>
    </row>
    <row r="120" spans="2:2" ht="15" x14ac:dyDescent="0.25">
      <c r="B120" s="22"/>
    </row>
    <row r="121" spans="2:2" ht="15" x14ac:dyDescent="0.25">
      <c r="B121" s="22"/>
    </row>
    <row r="122" spans="2:2" ht="15" x14ac:dyDescent="0.25">
      <c r="B122" s="22"/>
    </row>
    <row r="123" spans="2:2" ht="15" x14ac:dyDescent="0.25">
      <c r="B123" s="22"/>
    </row>
    <row r="124" spans="2:2" ht="15" x14ac:dyDescent="0.25">
      <c r="B124" s="22"/>
    </row>
    <row r="125" spans="2:2" ht="15" x14ac:dyDescent="0.25">
      <c r="B125" s="22"/>
    </row>
    <row r="126" spans="2:2" ht="15" x14ac:dyDescent="0.25">
      <c r="B126" s="22"/>
    </row>
    <row r="127" spans="2:2" ht="15" x14ac:dyDescent="0.25">
      <c r="B127" s="22"/>
    </row>
    <row r="128" spans="2:2" ht="15" x14ac:dyDescent="0.25">
      <c r="B128" s="22"/>
    </row>
    <row r="129" spans="2:2" ht="15" x14ac:dyDescent="0.25">
      <c r="B129" s="22"/>
    </row>
    <row r="130" spans="2:2" ht="15" x14ac:dyDescent="0.25">
      <c r="B130" s="22"/>
    </row>
    <row r="131" spans="2:2" ht="15" x14ac:dyDescent="0.25">
      <c r="B131" s="22"/>
    </row>
    <row r="132" spans="2:2" ht="15" x14ac:dyDescent="0.25">
      <c r="B132" s="22"/>
    </row>
    <row r="133" spans="2:2" ht="15" x14ac:dyDescent="0.25">
      <c r="B133" s="22"/>
    </row>
    <row r="134" spans="2:2" ht="15" x14ac:dyDescent="0.25">
      <c r="B134" s="22"/>
    </row>
    <row r="135" spans="2:2" ht="15" x14ac:dyDescent="0.25">
      <c r="B135" s="22"/>
    </row>
    <row r="136" spans="2:2" ht="15" x14ac:dyDescent="0.25">
      <c r="B136" s="22"/>
    </row>
    <row r="137" spans="2:2" ht="15" x14ac:dyDescent="0.25">
      <c r="B137" s="22"/>
    </row>
    <row r="138" spans="2:2" ht="15" x14ac:dyDescent="0.25">
      <c r="B138" s="22"/>
    </row>
    <row r="139" spans="2:2" ht="15" x14ac:dyDescent="0.25">
      <c r="B139" s="22"/>
    </row>
    <row r="140" spans="2:2" ht="15" x14ac:dyDescent="0.25">
      <c r="B140" s="22"/>
    </row>
    <row r="141" spans="2:2" ht="15" x14ac:dyDescent="0.25">
      <c r="B141" s="22"/>
    </row>
    <row r="142" spans="2:2" ht="15" x14ac:dyDescent="0.25">
      <c r="B142" s="22"/>
    </row>
    <row r="143" spans="2:2" ht="15" x14ac:dyDescent="0.25">
      <c r="B143" s="22"/>
    </row>
    <row r="144" spans="2:2" ht="15" x14ac:dyDescent="0.25">
      <c r="B144" s="22"/>
    </row>
    <row r="145" spans="2:2" ht="15" x14ac:dyDescent="0.25">
      <c r="B145" s="22"/>
    </row>
    <row r="146" spans="2:2" ht="15" x14ac:dyDescent="0.25">
      <c r="B146" s="22"/>
    </row>
    <row r="147" spans="2:2" ht="15" x14ac:dyDescent="0.25">
      <c r="B147" s="22"/>
    </row>
    <row r="148" spans="2:2" ht="15" x14ac:dyDescent="0.25">
      <c r="B148" s="22"/>
    </row>
    <row r="149" spans="2:2" ht="15" x14ac:dyDescent="0.25">
      <c r="B149" s="22"/>
    </row>
    <row r="150" spans="2:2" ht="15" x14ac:dyDescent="0.25">
      <c r="B150" s="22"/>
    </row>
    <row r="151" spans="2:2" ht="15" x14ac:dyDescent="0.25">
      <c r="B151" s="22"/>
    </row>
    <row r="152" spans="2:2" ht="15" x14ac:dyDescent="0.25">
      <c r="B152" s="22"/>
    </row>
    <row r="153" spans="2:2" ht="15" x14ac:dyDescent="0.25">
      <c r="B153" s="22"/>
    </row>
    <row r="154" spans="2:2" ht="15" x14ac:dyDescent="0.25">
      <c r="B154" s="22"/>
    </row>
    <row r="155" spans="2:2" ht="15" x14ac:dyDescent="0.25">
      <c r="B155" s="22"/>
    </row>
    <row r="156" spans="2:2" ht="15" x14ac:dyDescent="0.25">
      <c r="B156" s="22"/>
    </row>
    <row r="157" spans="2:2" ht="15" x14ac:dyDescent="0.25">
      <c r="B157" s="22"/>
    </row>
    <row r="158" spans="2:2" ht="15" x14ac:dyDescent="0.25">
      <c r="B158" s="22"/>
    </row>
    <row r="159" spans="2:2" ht="15" x14ac:dyDescent="0.25">
      <c r="B159" s="22"/>
    </row>
    <row r="160" spans="2:2" ht="15" x14ac:dyDescent="0.25">
      <c r="B160" s="22"/>
    </row>
    <row r="161" spans="2:2" ht="15" x14ac:dyDescent="0.25">
      <c r="B161" s="22"/>
    </row>
    <row r="162" spans="2:2" ht="15" x14ac:dyDescent="0.25">
      <c r="B162" s="22"/>
    </row>
    <row r="163" spans="2:2" ht="15" x14ac:dyDescent="0.25">
      <c r="B163" s="22"/>
    </row>
    <row r="164" spans="2:2" ht="15" x14ac:dyDescent="0.25">
      <c r="B164" s="22"/>
    </row>
    <row r="165" spans="2:2" ht="15" x14ac:dyDescent="0.25">
      <c r="B165" s="22"/>
    </row>
    <row r="166" spans="2:2" ht="15" x14ac:dyDescent="0.25">
      <c r="B166" s="22"/>
    </row>
    <row r="167" spans="2:2" ht="15" x14ac:dyDescent="0.25">
      <c r="B167" s="22"/>
    </row>
    <row r="168" spans="2:2" ht="15" x14ac:dyDescent="0.25">
      <c r="B168" s="22"/>
    </row>
    <row r="169" spans="2:2" ht="15" x14ac:dyDescent="0.25">
      <c r="B169" s="22"/>
    </row>
    <row r="170" spans="2:2" ht="15" x14ac:dyDescent="0.25">
      <c r="B170" s="22"/>
    </row>
    <row r="171" spans="2:2" ht="15" x14ac:dyDescent="0.25">
      <c r="B171" s="22"/>
    </row>
    <row r="172" spans="2:2" ht="15" x14ac:dyDescent="0.25">
      <c r="B172" s="22"/>
    </row>
    <row r="173" spans="2:2" ht="15" x14ac:dyDescent="0.25">
      <c r="B173" s="22"/>
    </row>
    <row r="174" spans="2:2" ht="15" x14ac:dyDescent="0.25">
      <c r="B174" s="22"/>
    </row>
    <row r="175" spans="2:2" ht="15" x14ac:dyDescent="0.25">
      <c r="B175" s="22"/>
    </row>
    <row r="176" spans="2:2" ht="15" x14ac:dyDescent="0.25">
      <c r="B176" s="22"/>
    </row>
    <row r="177" spans="2:2" ht="15" x14ac:dyDescent="0.25">
      <c r="B177" s="22"/>
    </row>
    <row r="178" spans="2:2" ht="15" x14ac:dyDescent="0.25">
      <c r="B178" s="22"/>
    </row>
    <row r="179" spans="2:2" ht="15" x14ac:dyDescent="0.25">
      <c r="B179" s="22"/>
    </row>
    <row r="180" spans="2:2" ht="15" x14ac:dyDescent="0.25">
      <c r="B180" s="22"/>
    </row>
    <row r="181" spans="2:2" ht="15" x14ac:dyDescent="0.25">
      <c r="B181" s="22"/>
    </row>
    <row r="182" spans="2:2" ht="15" x14ac:dyDescent="0.25">
      <c r="B182" s="22"/>
    </row>
    <row r="183" spans="2:2" ht="15" x14ac:dyDescent="0.25">
      <c r="B183" s="22"/>
    </row>
    <row r="184" spans="2:2" ht="15" x14ac:dyDescent="0.25">
      <c r="B184" s="22"/>
    </row>
    <row r="185" spans="2:2" ht="15" x14ac:dyDescent="0.25">
      <c r="B185" s="22"/>
    </row>
    <row r="186" spans="2:2" ht="15" x14ac:dyDescent="0.25">
      <c r="B186" s="22"/>
    </row>
    <row r="187" spans="2:2" ht="15" x14ac:dyDescent="0.25">
      <c r="B187" s="22"/>
    </row>
    <row r="188" spans="2:2" ht="15" x14ac:dyDescent="0.25">
      <c r="B188" s="22"/>
    </row>
    <row r="189" spans="2:2" ht="15" x14ac:dyDescent="0.25">
      <c r="B189" s="22"/>
    </row>
    <row r="190" spans="2:2" ht="15" x14ac:dyDescent="0.25">
      <c r="B190" s="22"/>
    </row>
    <row r="191" spans="2:2" ht="15" x14ac:dyDescent="0.25">
      <c r="B191" s="22"/>
    </row>
    <row r="192" spans="2:2" ht="15" x14ac:dyDescent="0.25">
      <c r="B192" s="22"/>
    </row>
    <row r="193" spans="2:2" ht="15" x14ac:dyDescent="0.25">
      <c r="B193" s="22"/>
    </row>
    <row r="194" spans="2:2" ht="15" x14ac:dyDescent="0.25">
      <c r="B194" s="22"/>
    </row>
    <row r="195" spans="2:2" ht="15" x14ac:dyDescent="0.25">
      <c r="B195" s="22"/>
    </row>
    <row r="196" spans="2:2" ht="15" x14ac:dyDescent="0.25">
      <c r="B196" s="22"/>
    </row>
    <row r="197" spans="2:2" ht="15" x14ac:dyDescent="0.25">
      <c r="B197" s="22"/>
    </row>
    <row r="198" spans="2:2" ht="15" x14ac:dyDescent="0.25">
      <c r="B198" s="22"/>
    </row>
    <row r="199" spans="2:2" ht="15" x14ac:dyDescent="0.25">
      <c r="B199" s="22"/>
    </row>
    <row r="200" spans="2:2" ht="15" x14ac:dyDescent="0.25">
      <c r="B200" s="22"/>
    </row>
    <row r="201" spans="2:2" ht="15" x14ac:dyDescent="0.25">
      <c r="B201" s="22"/>
    </row>
    <row r="202" spans="2:2" ht="15" x14ac:dyDescent="0.25">
      <c r="B202" s="22"/>
    </row>
    <row r="203" spans="2:2" ht="15" x14ac:dyDescent="0.25">
      <c r="B203" s="22"/>
    </row>
    <row r="204" spans="2:2" ht="15" x14ac:dyDescent="0.25">
      <c r="B204" s="22"/>
    </row>
    <row r="205" spans="2:2" ht="15" x14ac:dyDescent="0.25">
      <c r="B205" s="22"/>
    </row>
    <row r="206" spans="2:2" ht="15" x14ac:dyDescent="0.25">
      <c r="B206" s="22"/>
    </row>
    <row r="207" spans="2:2" ht="15" x14ac:dyDescent="0.25">
      <c r="B207" s="22"/>
    </row>
    <row r="208" spans="2:2" ht="15" x14ac:dyDescent="0.25">
      <c r="B208" s="22"/>
    </row>
    <row r="209" spans="2:2" ht="15" x14ac:dyDescent="0.25">
      <c r="B209" s="22"/>
    </row>
    <row r="210" spans="2:2" ht="15" x14ac:dyDescent="0.25">
      <c r="B210" s="22"/>
    </row>
    <row r="211" spans="2:2" ht="15" x14ac:dyDescent="0.25">
      <c r="B211" s="22"/>
    </row>
    <row r="212" spans="2:2" ht="15" x14ac:dyDescent="0.25">
      <c r="B212" s="22"/>
    </row>
    <row r="213" spans="2:2" ht="15" x14ac:dyDescent="0.25">
      <c r="B213" s="22"/>
    </row>
    <row r="214" spans="2:2" ht="15" x14ac:dyDescent="0.25">
      <c r="B214" s="22"/>
    </row>
    <row r="215" spans="2:2" ht="15" x14ac:dyDescent="0.25">
      <c r="B215" s="22"/>
    </row>
    <row r="216" spans="2:2" ht="15" x14ac:dyDescent="0.25">
      <c r="B216" s="22"/>
    </row>
  </sheetData>
  <autoFilter ref="L1:L216"/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34"/>
  <sheetViews>
    <sheetView workbookViewId="0">
      <selection activeCell="L7" sqref="L7"/>
    </sheetView>
  </sheetViews>
  <sheetFormatPr defaultRowHeight="15" x14ac:dyDescent="0.25"/>
  <cols>
    <col min="1" max="1" width="3.140625" style="1" customWidth="1"/>
    <col min="2" max="2" width="21.7109375" style="1" bestFit="1" customWidth="1"/>
    <col min="3" max="3" width="11.28515625" style="1" bestFit="1" customWidth="1"/>
    <col min="4" max="5" width="10.5703125" style="1" bestFit="1" customWidth="1"/>
    <col min="6" max="6" width="4.28515625" style="1" customWidth="1"/>
    <col min="7" max="7" width="8.85546875" style="1" customWidth="1"/>
    <col min="8" max="8" width="9.42578125" style="1" customWidth="1"/>
    <col min="9" max="16384" width="9.140625" style="1"/>
  </cols>
  <sheetData>
    <row r="1" spans="2:20" ht="15.75" x14ac:dyDescent="0.25">
      <c r="B1" s="55" t="s">
        <v>241</v>
      </c>
    </row>
    <row r="2" spans="2:20" x14ac:dyDescent="0.25">
      <c r="B2" s="22"/>
    </row>
    <row r="3" spans="2:20" ht="45.75" thickBot="1" x14ac:dyDescent="0.3">
      <c r="B3" s="56" t="s">
        <v>242</v>
      </c>
      <c r="C3" s="29" t="s">
        <v>219</v>
      </c>
      <c r="D3" s="29" t="s">
        <v>220</v>
      </c>
      <c r="E3" s="29" t="s">
        <v>221</v>
      </c>
      <c r="F3" s="53"/>
      <c r="G3" s="54" t="s">
        <v>245</v>
      </c>
      <c r="H3" s="54" t="s">
        <v>246</v>
      </c>
    </row>
    <row r="4" spans="2:20" x14ac:dyDescent="0.25">
      <c r="B4" s="57" t="s">
        <v>224</v>
      </c>
      <c r="C4" s="25">
        <f>SUMIF('2.1 Database'!$I:$I,'2.2 P&amp;L statement'!$B4,'2.1 Database'!F:F)/1000000</f>
        <v>14.500341000000001</v>
      </c>
      <c r="D4" s="25">
        <f>SUMIF('2.1 Database'!$I:$I,'2.2 P&amp;L statement'!$B4,'2.1 Database'!G:G)/1000000</f>
        <v>16.148295364999999</v>
      </c>
      <c r="E4" s="25">
        <f>SUMIF('2.1 Database'!$I:$I,'2.2 P&amp;L statement'!$B4,'2.1 Database'!H:H)/1000000</f>
        <v>15.047803019</v>
      </c>
      <c r="F4" s="53"/>
      <c r="G4" s="34">
        <f>IF(ISERROR((D4/C4)-1),"n.a.",IF(((D4/C4)-1)&gt;1,"&gt;100.0%",IF(((D4/C4)-1)&lt;-1,"&lt;-100.0%",((D4/C4)-1))))</f>
        <v>0.11364935245315944</v>
      </c>
      <c r="H4" s="34">
        <f t="shared" ref="H4:H24" si="0">IF(ISERROR((E4/D4)-1),"n.a.",IF(((E4/D4)-1)&gt;1,"&gt;100.0%",IF(((E4/D4)-1)&lt;-1,"&lt;-100.0%",((E4/D4)-1))))</f>
        <v>-6.8149134080444096E-2</v>
      </c>
      <c r="L4" s="33" t="s">
        <v>247</v>
      </c>
      <c r="M4" s="33"/>
      <c r="N4" s="33"/>
      <c r="O4" s="33"/>
      <c r="P4" s="33"/>
      <c r="Q4" s="33"/>
      <c r="R4" s="33"/>
      <c r="S4" s="33"/>
      <c r="T4" s="33"/>
    </row>
    <row r="5" spans="2:20" x14ac:dyDescent="0.25">
      <c r="B5" s="57" t="s">
        <v>66</v>
      </c>
      <c r="C5" s="25">
        <f>SUMIF('2.1 Database'!$I:$I,'2.2 P&amp;L statement'!$B5,'2.1 Database'!F:F)/1000000</f>
        <v>4.7948561920000001</v>
      </c>
      <c r="D5" s="25">
        <f>SUMIF('2.1 Database'!$I:$I,'2.2 P&amp;L statement'!$B5,'2.1 Database'!G:G)/1000000</f>
        <v>6.9602176449999993</v>
      </c>
      <c r="E5" s="25">
        <f>SUMIF('2.1 Database'!$I:$I,'2.2 P&amp;L statement'!$B5,'2.1 Database'!H:H)/1000000</f>
        <v>6.3736175140000002</v>
      </c>
      <c r="F5" s="53"/>
      <c r="G5" s="34">
        <f t="shared" ref="G5:G24" si="1">IF(ISERROR((D5/C5)-1),"n.a.",IF(((D5/C5)-1)&gt;1,"&gt;100.0%",IF(((D5/C5)-1)&lt;-1,"&lt;-100.0%",((D5/C5)-1))))</f>
        <v>0.45160091696030569</v>
      </c>
      <c r="H5" s="34">
        <f t="shared" si="0"/>
        <v>-8.4278992542911935E-2</v>
      </c>
      <c r="L5" s="33" t="s">
        <v>248</v>
      </c>
      <c r="M5" s="33"/>
      <c r="N5" s="33"/>
      <c r="O5" s="33"/>
      <c r="P5" s="33"/>
      <c r="Q5" s="33"/>
      <c r="R5" s="33"/>
      <c r="S5" s="33"/>
      <c r="T5" s="33"/>
    </row>
    <row r="6" spans="2:20" x14ac:dyDescent="0.25">
      <c r="B6" s="58" t="s">
        <v>227</v>
      </c>
      <c r="C6" s="26">
        <f>SUMIF('2.1 Database'!$I:$I,'2.2 P&amp;L statement'!$B6,'2.1 Database'!F:F)/1000000</f>
        <v>3.2200542519999997</v>
      </c>
      <c r="D6" s="26">
        <f>SUMIF('2.1 Database'!$I:$I,'2.2 P&amp;L statement'!$B6,'2.1 Database'!G:G)/1000000</f>
        <v>2.9240919949999999</v>
      </c>
      <c r="E6" s="26">
        <f>SUMIF('2.1 Database'!$I:$I,'2.2 P&amp;L statement'!$B6,'2.1 Database'!H:H)/1000000</f>
        <v>4.8931777299999997</v>
      </c>
      <c r="F6" s="53"/>
      <c r="G6" s="35">
        <f t="shared" si="1"/>
        <v>-9.1912195832158816E-2</v>
      </c>
      <c r="H6" s="35">
        <f t="shared" si="0"/>
        <v>0.67340074743441836</v>
      </c>
    </row>
    <row r="7" spans="2:20" x14ac:dyDescent="0.25">
      <c r="B7" s="59" t="s">
        <v>236</v>
      </c>
      <c r="C7" s="30">
        <f>SUM(C4:C6)</f>
        <v>22.515251444</v>
      </c>
      <c r="D7" s="30">
        <f t="shared" ref="D7:E7" si="2">SUM(D4:D6)</f>
        <v>26.032605005000001</v>
      </c>
      <c r="E7" s="30">
        <f t="shared" si="2"/>
        <v>26.314598263000001</v>
      </c>
      <c r="F7" s="53"/>
      <c r="G7" s="36">
        <f t="shared" si="1"/>
        <v>0.15622093183140207</v>
      </c>
      <c r="H7" s="36">
        <f t="shared" si="0"/>
        <v>1.0832310402506318E-2</v>
      </c>
    </row>
    <row r="8" spans="2:20" x14ac:dyDescent="0.25">
      <c r="B8" s="58" t="s">
        <v>98</v>
      </c>
      <c r="C8" s="26">
        <f>SUMIF('2.1 Database'!$I:$I,'2.2 P&amp;L statement'!$B8,'2.1 Database'!F:F)/1000000</f>
        <v>-4.4289117640000004</v>
      </c>
      <c r="D8" s="26">
        <f>SUMIF('2.1 Database'!$I:$I,'2.2 P&amp;L statement'!$B8,'2.1 Database'!G:G)/1000000</f>
        <v>-5.4631888250000005</v>
      </c>
      <c r="E8" s="26">
        <f>SUMIF('2.1 Database'!$I:$I,'2.2 P&amp;L statement'!$B8,'2.1 Database'!H:H)/1000000</f>
        <v>-5.6741520669999996</v>
      </c>
      <c r="F8" s="53"/>
      <c r="G8" s="35">
        <f t="shared" si="1"/>
        <v>0.23352848647991253</v>
      </c>
      <c r="H8" s="35">
        <f t="shared" si="0"/>
        <v>3.861540370609462E-2</v>
      </c>
    </row>
    <row r="9" spans="2:20" x14ac:dyDescent="0.25">
      <c r="B9" s="59" t="s">
        <v>237</v>
      </c>
      <c r="C9" s="30">
        <f>SUM(C7:C8)</f>
        <v>18.086339680000002</v>
      </c>
      <c r="D9" s="30">
        <f t="shared" ref="D9:E9" si="3">SUM(D7:D8)</f>
        <v>20.569416180000001</v>
      </c>
      <c r="E9" s="30">
        <f t="shared" si="3"/>
        <v>20.640446195999999</v>
      </c>
      <c r="F9" s="53"/>
      <c r="G9" s="36">
        <f t="shared" si="1"/>
        <v>0.13729016174266606</v>
      </c>
      <c r="H9" s="36">
        <f t="shared" si="0"/>
        <v>3.4531858064625887E-3</v>
      </c>
      <c r="M9" s="40"/>
    </row>
    <row r="10" spans="2:20" x14ac:dyDescent="0.25">
      <c r="B10" s="57" t="s">
        <v>225</v>
      </c>
      <c r="C10" s="25">
        <f>SUMIF('2.1 Database'!$I:$I,'2.2 P&amp;L statement'!$B10,'2.1 Database'!F:F)/1000000</f>
        <v>-3.3966489799999997</v>
      </c>
      <c r="D10" s="25">
        <f>SUMIF('2.1 Database'!$I:$I,'2.2 P&amp;L statement'!$B10,'2.1 Database'!G:G)/1000000</f>
        <v>-3.7048433449999996</v>
      </c>
      <c r="E10" s="25">
        <f>SUMIF('2.1 Database'!$I:$I,'2.2 P&amp;L statement'!$B10,'2.1 Database'!H:H)/1000000</f>
        <v>-6.6874830379999999</v>
      </c>
      <c r="F10" s="53"/>
      <c r="G10" s="34">
        <f t="shared" si="1"/>
        <v>9.0734829184498045E-2</v>
      </c>
      <c r="H10" s="34">
        <f t="shared" si="0"/>
        <v>0.80506499607475335</v>
      </c>
    </row>
    <row r="11" spans="2:20" x14ac:dyDescent="0.25">
      <c r="B11" s="57" t="s">
        <v>226</v>
      </c>
      <c r="C11" s="25">
        <f>SUMIF('2.1 Database'!$I:$I,'2.2 P&amp;L statement'!$B11,'2.1 Database'!F:F)/1000000</f>
        <v>-6.17073904</v>
      </c>
      <c r="D11" s="25">
        <f>SUMIF('2.1 Database'!$I:$I,'2.2 P&amp;L statement'!$B11,'2.1 Database'!G:G)/1000000</f>
        <v>-8.0718589449999989</v>
      </c>
      <c r="E11" s="25">
        <f>SUMIF('2.1 Database'!$I:$I,'2.2 P&amp;L statement'!$B11,'2.1 Database'!H:H)/1000000</f>
        <v>-5.8358881759999992</v>
      </c>
      <c r="F11" s="53"/>
      <c r="G11" s="34">
        <f t="shared" si="1"/>
        <v>0.30808625882192531</v>
      </c>
      <c r="H11" s="34">
        <f t="shared" si="0"/>
        <v>-0.27700815688622027</v>
      </c>
    </row>
    <row r="12" spans="2:20" x14ac:dyDescent="0.25">
      <c r="B12" s="57" t="s">
        <v>228</v>
      </c>
      <c r="C12" s="25">
        <f>SUMIF('2.1 Database'!$I:$I,'2.2 P&amp;L statement'!$B12,'2.1 Database'!F:F)/1000000</f>
        <v>-1.127445872</v>
      </c>
      <c r="D12" s="25">
        <f>SUMIF('2.1 Database'!$I:$I,'2.2 P&amp;L statement'!$B12,'2.1 Database'!G:G)/1000000</f>
        <v>-1.0553814750000001</v>
      </c>
      <c r="E12" s="25">
        <f>SUMIF('2.1 Database'!$I:$I,'2.2 P&amp;L statement'!$B12,'2.1 Database'!H:H)/1000000</f>
        <v>1.596053449</v>
      </c>
      <c r="F12" s="53"/>
      <c r="G12" s="34">
        <f t="shared" si="1"/>
        <v>-6.391827651305626E-2</v>
      </c>
      <c r="H12" s="34" t="str">
        <f t="shared" si="0"/>
        <v>&lt;-100.0%</v>
      </c>
    </row>
    <row r="13" spans="2:20" x14ac:dyDescent="0.25">
      <c r="B13" s="57" t="s">
        <v>229</v>
      </c>
      <c r="C13" s="25">
        <f>SUMIF('2.1 Database'!$I:$I,'2.2 P&amp;L statement'!$B13,'2.1 Database'!F:F)/1000000</f>
        <v>-2.5430882079999995</v>
      </c>
      <c r="D13" s="25">
        <f>SUMIF('2.1 Database'!$I:$I,'2.2 P&amp;L statement'!$B13,'2.1 Database'!G:G)/1000000</f>
        <v>-1.837786345</v>
      </c>
      <c r="E13" s="25">
        <f>SUMIF('2.1 Database'!$I:$I,'2.2 P&amp;L statement'!$B13,'2.1 Database'!H:H)/1000000</f>
        <v>-1.9549839309999999</v>
      </c>
      <c r="F13" s="53"/>
      <c r="G13" s="34">
        <f t="shared" si="1"/>
        <v>-0.27734069969782171</v>
      </c>
      <c r="H13" s="34">
        <f t="shared" si="0"/>
        <v>6.3771061483210545E-2</v>
      </c>
    </row>
    <row r="14" spans="2:20" x14ac:dyDescent="0.25">
      <c r="B14" s="57" t="s">
        <v>230</v>
      </c>
      <c r="C14" s="25">
        <f>SUMIF('2.1 Database'!$I:$I,'2.2 P&amp;L statement'!$B14,'2.1 Database'!F:F)/1000000</f>
        <v>-1.8135250039999999</v>
      </c>
      <c r="D14" s="25">
        <f>SUMIF('2.1 Database'!$I:$I,'2.2 P&amp;L statement'!$B14,'2.1 Database'!G:G)/1000000</f>
        <v>-2.3932591899999998</v>
      </c>
      <c r="E14" s="25">
        <f>SUMIF('2.1 Database'!$I:$I,'2.2 P&amp;L statement'!$B14,'2.1 Database'!H:H)/1000000</f>
        <v>-2.5144318869999998</v>
      </c>
      <c r="F14" s="53"/>
      <c r="G14" s="34">
        <f t="shared" si="1"/>
        <v>0.31967256294857238</v>
      </c>
      <c r="H14" s="34">
        <f t="shared" si="0"/>
        <v>5.0630829082912721E-2</v>
      </c>
    </row>
    <row r="15" spans="2:20" x14ac:dyDescent="0.25">
      <c r="B15" s="57" t="s">
        <v>74</v>
      </c>
      <c r="C15" s="25">
        <f>SUMIF('2.1 Database'!$I:$I,'2.2 P&amp;L statement'!$B15,'2.1 Database'!F:F)/1000000</f>
        <v>5.7221999999999995E-5</v>
      </c>
      <c r="D15" s="25">
        <f>SUMIF('2.1 Database'!$I:$I,'2.2 P&amp;L statement'!$B15,'2.1 Database'!G:G)/1000000</f>
        <v>-7.3574899999999995E-3</v>
      </c>
      <c r="E15" s="25">
        <f>SUMIF('2.1 Database'!$I:$I,'2.2 P&amp;L statement'!$B15,'2.1 Database'!H:H)/1000000</f>
        <v>4.678542799999999E-2</v>
      </c>
      <c r="F15" s="53"/>
      <c r="G15" s="34" t="str">
        <f t="shared" si="1"/>
        <v>&lt;-100.0%</v>
      </c>
      <c r="H15" s="34" t="str">
        <f t="shared" si="0"/>
        <v>&lt;-100.0%</v>
      </c>
    </row>
    <row r="16" spans="2:20" x14ac:dyDescent="0.25">
      <c r="B16" s="58" t="s">
        <v>67</v>
      </c>
      <c r="C16" s="26">
        <f>SUMIF('2.1 Database'!$I:$I,'2.2 P&amp;L statement'!$B16,'2.1 Database'!F:F)/1000000</f>
        <v>5.2683321979999995</v>
      </c>
      <c r="D16" s="26">
        <f>SUMIF('2.1 Database'!$I:$I,'2.2 P&amp;L statement'!$B16,'2.1 Database'!G:G)/1000000</f>
        <v>0.74482694999999999</v>
      </c>
      <c r="E16" s="26">
        <f>SUMIF('2.1 Database'!$I:$I,'2.2 P&amp;L statement'!$B16,'2.1 Database'!H:H)/1000000</f>
        <v>0</v>
      </c>
      <c r="F16" s="53"/>
      <c r="G16" s="35">
        <f t="shared" si="1"/>
        <v>-0.85862187082986985</v>
      </c>
      <c r="H16" s="35">
        <f t="shared" si="0"/>
        <v>-1</v>
      </c>
    </row>
    <row r="17" spans="2:8" x14ac:dyDescent="0.25">
      <c r="B17" s="60" t="s">
        <v>238</v>
      </c>
      <c r="C17" s="27">
        <f>SUM(C9:C16)</f>
        <v>8.3032819960000026</v>
      </c>
      <c r="D17" s="27">
        <f t="shared" ref="D17:E17" si="4">SUM(D9:D16)</f>
        <v>4.2437563400000018</v>
      </c>
      <c r="E17" s="27">
        <f t="shared" si="4"/>
        <v>5.2904980409999993</v>
      </c>
      <c r="F17" s="53"/>
      <c r="G17" s="37">
        <f t="shared" si="1"/>
        <v>-0.48890615276653548</v>
      </c>
      <c r="H17" s="37">
        <f t="shared" si="0"/>
        <v>0.24665452423217982</v>
      </c>
    </row>
    <row r="18" spans="2:8" x14ac:dyDescent="0.25">
      <c r="B18" s="58" t="s">
        <v>72</v>
      </c>
      <c r="C18" s="26">
        <f>SUMIF('2.1 Database'!$I:$I,'2.2 P&amp;L statement'!$B18,'2.1 Database'!F:F)/1000000</f>
        <v>-2.045243514</v>
      </c>
      <c r="D18" s="26">
        <f>SUMIF('2.1 Database'!$I:$I,'2.2 P&amp;L statement'!$B18,'2.1 Database'!G:G)/1000000</f>
        <v>-2.0440058150000002</v>
      </c>
      <c r="E18" s="26">
        <f>SUMIF('2.1 Database'!$I:$I,'2.2 P&amp;L statement'!$B18,'2.1 Database'!H:H)/1000000</f>
        <v>-1.8883615140000001</v>
      </c>
      <c r="F18" s="53"/>
      <c r="G18" s="35">
        <f t="shared" si="1"/>
        <v>-6.0515972378227811E-4</v>
      </c>
      <c r="H18" s="35">
        <f t="shared" si="0"/>
        <v>-7.6146701666795491E-2</v>
      </c>
    </row>
    <row r="19" spans="2:8" x14ac:dyDescent="0.25">
      <c r="B19" s="59" t="s">
        <v>239</v>
      </c>
      <c r="C19" s="30">
        <f>SUM(C17:C18)</f>
        <v>6.2580384820000026</v>
      </c>
      <c r="D19" s="30">
        <f t="shared" ref="D19:E19" si="5">SUM(D17:D18)</f>
        <v>2.1997505250000016</v>
      </c>
      <c r="E19" s="30">
        <f t="shared" si="5"/>
        <v>3.4021365269999992</v>
      </c>
      <c r="F19" s="53"/>
      <c r="G19" s="36">
        <f t="shared" si="1"/>
        <v>-0.64849201050342775</v>
      </c>
      <c r="H19" s="36">
        <f t="shared" si="0"/>
        <v>0.54660107513782585</v>
      </c>
    </row>
    <row r="20" spans="2:8" x14ac:dyDescent="0.25">
      <c r="B20" s="57" t="s">
        <v>231</v>
      </c>
      <c r="C20" s="25">
        <f>SUMIF('2.1 Database'!$I:$I,'2.2 P&amp;L statement'!$B20,'2.1 Database'!F:F)/1000000</f>
        <v>-2.8426923660000001</v>
      </c>
      <c r="D20" s="25">
        <f>SUMIF('2.1 Database'!$I:$I,'2.2 P&amp;L statement'!$B20,'2.1 Database'!G:G)/1000000</f>
        <v>-2.7107469200000001</v>
      </c>
      <c r="E20" s="25">
        <f>SUMIF('2.1 Database'!$I:$I,'2.2 P&amp;L statement'!$B20,'2.1 Database'!H:H)/1000000</f>
        <v>-2.250707829</v>
      </c>
      <c r="F20" s="53"/>
      <c r="G20" s="34">
        <f t="shared" si="1"/>
        <v>-4.6415661285805099E-2</v>
      </c>
      <c r="H20" s="34">
        <f t="shared" si="0"/>
        <v>-0.16970934748862498</v>
      </c>
    </row>
    <row r="21" spans="2:8" x14ac:dyDescent="0.25">
      <c r="B21" s="58" t="s">
        <v>232</v>
      </c>
      <c r="C21" s="26">
        <f>SUMIF('2.1 Database'!$I:$I,'2.2 P&amp;L statement'!$B21,'2.1 Database'!F:F)/1000000</f>
        <v>-2.2762999999999999E-2</v>
      </c>
      <c r="D21" s="26">
        <f>SUMIF('2.1 Database'!$I:$I,'2.2 P&amp;L statement'!$B21,'2.1 Database'!G:G)/1000000</f>
        <v>-4.5786198000000002</v>
      </c>
      <c r="E21" s="26">
        <f>SUMIF('2.1 Database'!$I:$I,'2.2 P&amp;L statement'!$B21,'2.1 Database'!H:H)/1000000</f>
        <v>-7.1731959999999989E-3</v>
      </c>
      <c r="F21" s="53"/>
      <c r="G21" s="35" t="str">
        <f t="shared" si="1"/>
        <v>&gt;100.0%</v>
      </c>
      <c r="H21" s="35">
        <f t="shared" si="0"/>
        <v>-0.99843332787754069</v>
      </c>
    </row>
    <row r="22" spans="2:8" x14ac:dyDescent="0.25">
      <c r="B22" s="59" t="s">
        <v>240</v>
      </c>
      <c r="C22" s="30">
        <f>SUM(C19:C21)</f>
        <v>3.3925831160000026</v>
      </c>
      <c r="D22" s="30">
        <f t="shared" ref="D22:E22" si="6">SUM(D19:D21)</f>
        <v>-5.0896161949999987</v>
      </c>
      <c r="E22" s="30">
        <f t="shared" si="6"/>
        <v>1.1442555019999991</v>
      </c>
      <c r="F22" s="53"/>
      <c r="G22" s="36" t="str">
        <f t="shared" si="1"/>
        <v>&lt;-100.0%</v>
      </c>
      <c r="H22" s="36" t="str">
        <f t="shared" si="0"/>
        <v>&lt;-100.0%</v>
      </c>
    </row>
    <row r="23" spans="2:8" x14ac:dyDescent="0.25">
      <c r="B23" s="61" t="s">
        <v>233</v>
      </c>
      <c r="C23" s="28">
        <f>SUMIF('2.1 Database'!$I:$I,'2.2 P&amp;L statement'!$B23,'2.1 Database'!F:F)/1000000</f>
        <v>-0.48846512199999997</v>
      </c>
      <c r="D23" s="28">
        <f>SUMIF('2.1 Database'!$I:$I,'2.2 P&amp;L statement'!$B23,'2.1 Database'!G:G)/1000000</f>
        <v>-0.98419196500000017</v>
      </c>
      <c r="E23" s="28">
        <f>SUMIF('2.1 Database'!$I:$I,'2.2 P&amp;L statement'!$B23,'2.1 Database'!H:H)/1000000</f>
        <v>-0.36496502599999997</v>
      </c>
      <c r="F23" s="53"/>
      <c r="G23" s="38" t="str">
        <f t="shared" si="1"/>
        <v>&gt;100.0%</v>
      </c>
      <c r="H23" s="38">
        <f t="shared" si="0"/>
        <v>-0.62917292664546398</v>
      </c>
    </row>
    <row r="24" spans="2:8" ht="15.75" thickBot="1" x14ac:dyDescent="0.3">
      <c r="B24" s="62" t="s">
        <v>234</v>
      </c>
      <c r="C24" s="31">
        <f>SUM(C22:C23)</f>
        <v>2.9041179940000026</v>
      </c>
      <c r="D24" s="31">
        <f t="shared" ref="D24:E24" si="7">SUM(D22:D23)</f>
        <v>-6.0738081599999987</v>
      </c>
      <c r="E24" s="31">
        <f t="shared" si="7"/>
        <v>0.77929047599999923</v>
      </c>
      <c r="F24" s="53"/>
      <c r="G24" s="39" t="str">
        <f t="shared" si="1"/>
        <v>&lt;-100.0%</v>
      </c>
      <c r="H24" s="39" t="str">
        <f t="shared" si="0"/>
        <v>&lt;-100.0%</v>
      </c>
    </row>
    <row r="25" spans="2:8" x14ac:dyDescent="0.25">
      <c r="B25" s="22"/>
    </row>
    <row r="26" spans="2:8" x14ac:dyDescent="0.25">
      <c r="B26" s="22"/>
    </row>
    <row r="27" spans="2:8" x14ac:dyDescent="0.25">
      <c r="B27" s="63" t="s">
        <v>252</v>
      </c>
      <c r="C27" s="41"/>
      <c r="D27" s="41"/>
      <c r="E27" s="41"/>
    </row>
    <row r="28" spans="2:8" x14ac:dyDescent="0.25">
      <c r="B28" s="63" t="s">
        <v>249</v>
      </c>
      <c r="C28" s="42">
        <f>C9/C7</f>
        <v>0.80329281353949789</v>
      </c>
      <c r="D28" s="42">
        <f t="shared" ref="D28:E28" si="8">D9/D7</f>
        <v>0.79014052477841912</v>
      </c>
      <c r="E28" s="42">
        <f t="shared" si="8"/>
        <v>0.78437246085651935</v>
      </c>
    </row>
    <row r="29" spans="2:8" x14ac:dyDescent="0.25">
      <c r="B29" s="63" t="s">
        <v>250</v>
      </c>
      <c r="C29" s="42">
        <f>C17/C7</f>
        <v>0.36878477758296191</v>
      </c>
      <c r="D29" s="42">
        <f t="shared" ref="D29:E29" si="9">D17/D7</f>
        <v>0.16301696811306118</v>
      </c>
      <c r="E29" s="42">
        <f t="shared" si="9"/>
        <v>0.20104802619916018</v>
      </c>
    </row>
    <row r="30" spans="2:8" x14ac:dyDescent="0.25">
      <c r="B30" s="63" t="s">
        <v>251</v>
      </c>
      <c r="C30" s="42">
        <f>C19/C7</f>
        <v>0.2779466397506159</v>
      </c>
      <c r="D30" s="42">
        <f t="shared" ref="D30:E30" si="10">D19/D7</f>
        <v>8.4499823378317393E-2</v>
      </c>
      <c r="E30" s="42">
        <f t="shared" si="10"/>
        <v>0.12928704033394345</v>
      </c>
    </row>
    <row r="33" spans="2:5" x14ac:dyDescent="0.25">
      <c r="B33" s="44" t="s">
        <v>234</v>
      </c>
      <c r="C33" s="43">
        <f>SUMIF('2.1 Database'!$I:$I,'2.2 P&amp;L statement'!$B33,'2.1 Database'!F:F)/1000000</f>
        <v>-2.9041179939999986</v>
      </c>
      <c r="D33" s="43">
        <f>SUMIF('2.1 Database'!$I:$I,'2.2 P&amp;L statement'!$B33,'2.1 Database'!G:G)/1000000</f>
        <v>6.0738081600000005</v>
      </c>
      <c r="E33" s="45">
        <f>SUMIF('2.1 Database'!$I:$I,'2.2 P&amp;L statement'!$B33,'2.1 Database'!H:H)/1000000</f>
        <v>-0.77929047600000001</v>
      </c>
    </row>
    <row r="34" spans="2:5" x14ac:dyDescent="0.25">
      <c r="B34" s="44" t="s">
        <v>243</v>
      </c>
      <c r="C34" s="43">
        <f>ROUND(C24+C33,9)</f>
        <v>0</v>
      </c>
      <c r="D34" s="43">
        <f>D24+D33</f>
        <v>0</v>
      </c>
      <c r="E34" s="45">
        <f>E24+E33</f>
        <v>0</v>
      </c>
    </row>
  </sheetData>
  <conditionalFormatting sqref="B24 B20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8"/>
  <sheetViews>
    <sheetView workbookViewId="0"/>
  </sheetViews>
  <sheetFormatPr defaultRowHeight="15" x14ac:dyDescent="0.25"/>
  <cols>
    <col min="1" max="1" width="1.85546875" style="46" customWidth="1"/>
    <col min="2" max="2" width="22" style="46" customWidth="1"/>
    <col min="3" max="4" width="9.140625" style="46"/>
    <col min="5" max="5" width="10.7109375" style="46" customWidth="1"/>
    <col min="6" max="6" width="9.140625" style="1"/>
    <col min="7" max="16384" width="9.140625" style="46"/>
  </cols>
  <sheetData>
    <row r="2" spans="2:5" ht="18.75" x14ac:dyDescent="0.3">
      <c r="B2" s="64" t="s">
        <v>253</v>
      </c>
      <c r="C2" s="64"/>
      <c r="D2" s="64"/>
      <c r="E2" s="64"/>
    </row>
    <row r="4" spans="2:5" ht="15.75" thickBot="1" x14ac:dyDescent="0.3">
      <c r="B4" s="47"/>
      <c r="C4" s="50" t="s">
        <v>219</v>
      </c>
      <c r="D4" s="50" t="s">
        <v>220</v>
      </c>
      <c r="E4" s="50" t="s">
        <v>221</v>
      </c>
    </row>
    <row r="5" spans="2:5" x14ac:dyDescent="0.25">
      <c r="B5" s="48" t="s">
        <v>224</v>
      </c>
      <c r="C5" s="51">
        <f>'2.2 P&amp;L statement'!C4</f>
        <v>14.500341000000001</v>
      </c>
      <c r="D5" s="51">
        <f>'2.2 P&amp;L statement'!D4</f>
        <v>16.148295364999999</v>
      </c>
      <c r="E5" s="51">
        <f>'2.2 P&amp;L statement'!E4</f>
        <v>15.047803019</v>
      </c>
    </row>
    <row r="6" spans="2:5" x14ac:dyDescent="0.25">
      <c r="B6" s="48" t="s">
        <v>66</v>
      </c>
      <c r="C6" s="51">
        <f>'2.2 P&amp;L statement'!C5</f>
        <v>4.7948561920000001</v>
      </c>
      <c r="D6" s="51">
        <f>'2.2 P&amp;L statement'!D5</f>
        <v>6.9602176449999993</v>
      </c>
      <c r="E6" s="51">
        <f>'2.2 P&amp;L statement'!E5</f>
        <v>6.3736175140000002</v>
      </c>
    </row>
    <row r="7" spans="2:5" x14ac:dyDescent="0.25">
      <c r="B7" s="49" t="s">
        <v>227</v>
      </c>
      <c r="C7" s="51">
        <f>'2.2 P&amp;L statement'!C6</f>
        <v>3.2200542519999997</v>
      </c>
      <c r="D7" s="51">
        <f>'2.2 P&amp;L statement'!D6</f>
        <v>2.9240919949999999</v>
      </c>
      <c r="E7" s="51">
        <f>'2.2 P&amp;L statement'!E6</f>
        <v>4.8931777299999997</v>
      </c>
    </row>
    <row r="8" spans="2:5" x14ac:dyDescent="0.25">
      <c r="B8" s="46" t="s">
        <v>254</v>
      </c>
      <c r="C8" s="52">
        <f>'2.2 P&amp;L statement'!C28</f>
        <v>0.80329281353949789</v>
      </c>
      <c r="D8" s="52">
        <f>'2.2 P&amp;L statement'!D28</f>
        <v>0.79014052477841912</v>
      </c>
      <c r="E8" s="52">
        <f>'2.2 P&amp;L statement'!E28</f>
        <v>0.78437246085651935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0"/>
  <sheetViews>
    <sheetView workbookViewId="0"/>
  </sheetViews>
  <sheetFormatPr defaultRowHeight="15" x14ac:dyDescent="0.25"/>
  <cols>
    <col min="1" max="1" width="4.140625" style="1" customWidth="1"/>
    <col min="2" max="2" width="25.140625" style="1" bestFit="1" customWidth="1"/>
    <col min="3" max="4" width="9.140625" style="1" customWidth="1"/>
    <col min="5" max="16384" width="9.140625" style="1"/>
  </cols>
  <sheetData>
    <row r="1" spans="2:3" ht="15.75" x14ac:dyDescent="0.25">
      <c r="B1" s="71" t="s">
        <v>260</v>
      </c>
    </row>
    <row r="2" spans="2:3" x14ac:dyDescent="0.25">
      <c r="B2" s="65"/>
    </row>
    <row r="3" spans="2:3" x14ac:dyDescent="0.25">
      <c r="B3" s="65"/>
    </row>
    <row r="4" spans="2:3" x14ac:dyDescent="0.25">
      <c r="B4" s="66" t="s">
        <v>255</v>
      </c>
      <c r="C4" s="67">
        <f>'2.2 P&amp;L statement'!D17</f>
        <v>4.2437563400000018</v>
      </c>
    </row>
    <row r="5" spans="2:3" x14ac:dyDescent="0.25">
      <c r="B5" s="66" t="s">
        <v>256</v>
      </c>
      <c r="C5" s="67">
        <f>'2.2 P&amp;L statement'!E7-'2.2 P&amp;L statement'!D7</f>
        <v>0.28199325799999997</v>
      </c>
    </row>
    <row r="6" spans="2:3" x14ac:dyDescent="0.25">
      <c r="B6" s="68" t="s">
        <v>259</v>
      </c>
      <c r="C6" s="67">
        <f>'2.2 P&amp;L statement'!E8-'2.2 P&amp;L statement'!D8</f>
        <v>-0.21096324199999916</v>
      </c>
    </row>
    <row r="7" spans="2:3" x14ac:dyDescent="0.25">
      <c r="B7" s="66" t="s">
        <v>257</v>
      </c>
      <c r="C7" s="67">
        <f>SUM('2.2 P&amp;L statement'!E10:E16)-SUM('2.2 P&amp;L statement'!D10:D16)</f>
        <v>0.97571168500000027</v>
      </c>
    </row>
    <row r="8" spans="2:3" x14ac:dyDescent="0.25">
      <c r="B8" s="66" t="s">
        <v>258</v>
      </c>
      <c r="C8" s="67">
        <f>'2.2 P&amp;L statement'!E17</f>
        <v>5.2904980409999993</v>
      </c>
    </row>
    <row r="9" spans="2:3" x14ac:dyDescent="0.25">
      <c r="B9" s="65"/>
    </row>
    <row r="10" spans="2:3" x14ac:dyDescent="0.25">
      <c r="B10" s="69" t="s">
        <v>243</v>
      </c>
      <c r="C10" s="70">
        <f>SUM(C4:C7)-C8</f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Inder</cp:lastModifiedBy>
  <dcterms:created xsi:type="dcterms:W3CDTF">2006-09-16T00:00:00Z</dcterms:created>
  <dcterms:modified xsi:type="dcterms:W3CDTF">2023-04-07T05:01:40Z</dcterms:modified>
</cp:coreProperties>
</file>